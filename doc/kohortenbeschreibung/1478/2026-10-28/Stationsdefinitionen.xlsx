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64deab7efa74df3" /></Relationships>
</file>

<file path=xl/workbook.xml><?xml version="1.0" encoding="utf-8"?>
<x:workbook xmlns:x="http://schemas.openxmlformats.org/spreadsheetml/2006/main">
  <x:sheets>
    <x:sheet xmlns:r="http://schemas.openxmlformats.org/officeDocument/2006/relationships" name="Stationen Abfrage dataprocessor" sheetId="1" r:id="R413928cdd98949d6"/>
    <x:sheet xmlns:r="http://schemas.openxmlformats.org/officeDocument/2006/relationships" name="Definitionen" sheetId="2" r:id="R9cf38fa58b8f4bc8"/>
    <x:sheet xmlns:r="http://schemas.openxmlformats.org/officeDocument/2006/relationships" name="Studienfenster" sheetId="3" r:id="R41ac2b63b06548c0"/>
  </x:sheets>
</x:workbook>
</file>

<file path=xl/comments1.xml><?xml version="1.0" encoding="utf-8"?>
<ns0:comments xmlns:ns0="http://schemas.openxmlformats.org/spreadsheetml/2006/main">
  <ns0:authors>
    <ns0:author>INTERPOLAR</ns0:author>
  </ns0:authors>
  <ns0:commentList>
    <ns0:comment ref="F4" authorId="0">
      <ns0:text>
        <ns0:t>4 wochen, bevor die erste Station in der CRS auf Phase B umgeschaltet wird.</ns0:t>
      </ns0:text>
    </ns0:comment>
  </ns0:commentList>
</ns0:comments>
</file>

<file path=xl/sharedStrings.xml><?xml version="1.0" encoding="utf-8"?>
<x:sst xmlns:x="http://schemas.openxmlformats.org/spreadsheetml/2006/main">
  <x:si>
    <x:t xml:space="preserve">site</x:t>
  </x:si>
  <x:si>
    <x:t xml:space="preserve">geprüft Apotheke (Datum, Kürzel)</x:t>
  </x:si>
  <x:si>
    <x:t xml:space="preserve">geprüft &amp; in toml geupdated DIZ (Datum, Kürzel)</x:t>
  </x:si>
  <x:si>
    <x:t xml:space="preserve">ward_name</x:t>
  </x:si>
  <x:si>
    <x:t xml:space="preserve">department (according to Usual Care Survey)</x:t>
  </x:si>
  <x:si>
    <x:t xml:space="preserve">ward_type (surgical / internistic) </x:t>
  </x:si>
  <x:si>
    <x:t xml:space="preserve">UK Aachen</x:t>
  </x:si>
  <x:si>
    <x:t xml:space="preserve">CH01</x:t>
  </x:si>
  <x:si>
    <x:t xml:space="preserve">1500 Allgemeine Chirurgie</x:t>
  </x:si>
  <x:si>
    <x:t xml:space="preserve">surgical</x:t>
  </x:si>
  <x:si>
    <x:t xml:space="preserve">IM42</x:t>
  </x:si>
  <x:si>
    <x:t xml:space="preserve">0500 Hämatologie und internistische Onkologie</x:t>
  </x:si>
  <x:si>
    <x:t xml:space="preserve">internistic</x:t>
  </x:si>
  <x:si>
    <x:t xml:space="preserve">F-01</x:t>
  </x:si>
  <x:si>
    <x:t xml:space="preserve">0200 Geriatrie</x:t>
  </x:si>
  <x:si>
    <x:t xml:space="preserve">THGC</x:t>
  </x:si>
  <x:si>
    <x:t xml:space="preserve">1800 Gefäßchirurgie</x:t>
  </x:si>
  <x:si>
    <x:t xml:space="preserve">UR01</x:t>
  </x:si>
  <x:si>
    <x:t xml:space="preserve">2200 Urologie</x:t>
  </x:si>
  <x:si>
    <x:t xml:space="preserve">?</x:t>
  </x:si>
  <x:si>
    <x:t xml:space="preserve">PS04</x:t>
  </x:si>
  <x:si>
    <x:t xml:space="preserve">3100 Psychosomatik/Psychotherapie</x:t>
  </x:si>
  <x:si>
    <x:t xml:space="preserve">UK Bonn</x:t>
  </x:si>
  <x:si>
    <x:t xml:space="preserve">Station Hufeland</x:t>
  </x:si>
  <x:si>
    <x:t xml:space="preserve">0700 Gastroenterologie</x:t>
  </x:si>
  <x:si>
    <x:t xml:space="preserve">Nasse I</x:t>
  </x:si>
  <x:si>
    <x:t xml:space="preserve">0400 Nephrologie</x:t>
  </x:si>
  <x:si>
    <x:t xml:space="preserve">Nasse II</x:t>
  </x:si>
  <x:si>
    <x:t xml:space="preserve">Station Hoffa</x:t>
  </x:si>
  <x:si>
    <x:t xml:space="preserve">2316 Orthopädie und Unfallchirurgie</x:t>
  </x:si>
  <x:si>
    <x:t xml:space="preserve">Station Pauwels</x:t>
  </x:si>
  <x:si>
    <x:t xml:space="preserve">Station Busch</x:t>
  </x:si>
  <x:si>
    <x:t xml:space="preserve">UK Dresden</x:t>
  </x:si>
  <x:si>
    <x:t xml:space="preserve">MK3-S1 Interdisziplinäre Geriatrie</x:t>
  </x:si>
  <x:si>
    <x:t xml:space="preserve">OUC-S4 Orthopädie-Unfallchirurgie</x:t>
  </x:si>
  <x:si>
    <x:t xml:space="preserve">MK1-S4 Gastroenterologie</x:t>
  </x:si>
  <x:si>
    <x:t xml:space="preserve">STR-S1 Strahlentherapie</x:t>
  </x:si>
  <x:si>
    <x:t xml:space="preserve">3300 Strahlenheilkunde</x:t>
  </x:si>
  <x:si>
    <x:t xml:space="preserve">MK3-S3 Rheumatologie/ Stoffwechsel/ Endokrinologie</x:t>
  </x:si>
  <x:si>
    <x:t xml:space="preserve">0100 Innere Medizin</x:t>
  </x:si>
  <x:si>
    <x:t xml:space="preserve">OUC-S1 Orthopädie-Unfallchirurgie</x:t>
  </x:si>
  <x:si>
    <x:t xml:space="preserve">NCH-S2 Interdisziplinäre Station NCH</x:t>
  </x:si>
  <x:si>
    <x:t xml:space="preserve">1700 Neurochirurgie</x:t>
  </x:si>
  <x:si>
    <x:t xml:space="preserve">UK Erlangen</x:t>
  </x:si>
  <x:si>
    <x:t xml:space="preserve">Nephrologie</x:t>
  </x:si>
  <x:si>
    <x:t xml:space="preserve">Unfallchirurgie</x:t>
  </x:si>
  <x:si>
    <x:t xml:space="preserve">1600 Unfallchirurgie</x:t>
  </x:si>
  <x:si>
    <x:t xml:space="preserve">Allgemeinchirugie</x:t>
  </x:si>
  <x:si>
    <x:t xml:space="preserve">Pneumologie</x:t>
  </x:si>
  <x:si>
    <x:t xml:space="preserve">0800 Pneumologie</x:t>
  </x:si>
  <x:si>
    <x:t xml:space="preserve">Kieferchirugie</x:t>
  </x:si>
  <x:si>
    <x:t xml:space="preserve">3500 Zahn- und Kieferheilkunde, Mund- und Kieferchirurgie</x:t>
  </x:si>
  <x:si>
    <x:t xml:space="preserve">Hämatoonkologie</x:t>
  </x:si>
  <x:si>
    <x:t xml:space="preserve">UM Essen</x:t>
  </x:si>
  <x:si>
    <x:t xml:space="preserve">WTZ 2</x:t>
  </x:si>
  <x:si>
    <x:t xml:space="preserve">UC2.UC</x:t>
  </x:si>
  <x:si>
    <x:t xml:space="preserve">NEURO1.NKL</x:t>
  </x:si>
  <x:si>
    <x:t xml:space="preserve">2800 Neurologie</x:t>
  </x:si>
  <x:si>
    <x:t xml:space="preserve">GASTRO1.MEDG</x:t>
  </x:si>
  <x:si>
    <x:t xml:space="preserve">UK Freiburg</x:t>
  </x:si>
  <x:si>
    <x:t xml:space="preserve">Station_Hoffmann</x:t>
  </x:si>
  <x:si>
    <x:t xml:space="preserve">Station_Jung</x:t>
  </x:si>
  <x:si>
    <x:t xml:space="preserve">Station_Wartenberg</x:t>
  </x:si>
  <x:si>
    <x:t xml:space="preserve">UK Gießen</x:t>
  </x:si>
  <x:si>
    <x:t xml:space="preserve">Station Jesionek HAU</x:t>
  </x:si>
  <x:si>
    <x:t xml:space="preserve">3400 Dermatologie</x:t>
  </x:si>
  <x:si>
    <x:t xml:space="preserve">Station Vossschulte (6)</x:t>
  </x:si>
  <x:si>
    <x:t xml:space="preserve">2100 Herzchirurgie</x:t>
  </x:si>
  <x:si>
    <x:t xml:space="preserve">Station 4.3</x:t>
  </x:si>
  <x:si>
    <x:t xml:space="preserve">Station 9 ACH</x:t>
  </x:si>
  <x:si>
    <x:t xml:space="preserve">Station Senning (5)</x:t>
  </x:si>
  <x:si>
    <x:t xml:space="preserve">2.3 Kardiologie NST</x:t>
  </x:si>
  <x:si>
    <x:t xml:space="preserve">0100 Innere Medizin; 0300 Kardiologie</x:t>
  </x:si>
  <x:si>
    <x:t xml:space="preserve">Station 2 URO (von Lichtenberg)</x:t>
  </x:si>
  <x:si>
    <x:t xml:space="preserve">UK Halle</x:t>
  </x:si>
  <x:si>
    <x:t xml:space="preserve">KIMGER</x:t>
  </x:si>
  <x:si>
    <x:t xml:space="preserve">HCH</x:t>
  </x:si>
  <x:si>
    <x:t xml:space="preserve">UK Heidelberg</x:t>
  </x:si>
  <x:si>
    <x:t xml:space="preserve">HNO 2</x:t>
  </x:si>
  <x:si>
    <x:t xml:space="preserve">2600 Hals-, Nasen-, Ohrenheilkunde</x:t>
  </x:si>
  <x:si>
    <x:t xml:space="preserve">Neuro 1</x:t>
  </x:si>
  <x:si>
    <x:t xml:space="preserve">Ortho F2</x:t>
  </x:si>
  <x:si>
    <x:t xml:space="preserve">RAD</x:t>
  </x:si>
  <x:si>
    <x:t xml:space="preserve">HNO 1</x:t>
  </x:si>
  <x:si>
    <x:t xml:space="preserve">Ortho J3</x:t>
  </x:si>
  <x:si>
    <x:t xml:space="preserve">UK Jena</x:t>
  </x:si>
  <x:si>
    <x:t xml:space="preserve">B440</x:t>
  </x:si>
  <x:si>
    <x:t xml:space="preserve">B441</x:t>
  </x:si>
  <x:si>
    <x:t xml:space="preserve">A520</x:t>
  </x:si>
  <x:si>
    <x:t xml:space="preserve">B320</x:t>
  </x:si>
  <x:si>
    <x:t xml:space="preserve">B430</x:t>
  </x:si>
  <x:si>
    <x:t xml:space="preserve">A430</x:t>
  </x:si>
  <x:si>
    <x:t xml:space="preserve">UKSH Kiel</x:t>
  </x:si>
  <x:si>
    <x:t xml:space="preserve">C220 Innere Med I</x:t>
  </x:si>
  <x:si>
    <x:t xml:space="preserve">C310 Herzchirurgie</x:t>
  </x:si>
  <x:si>
    <x:t xml:space="preserve">C312 Innere Med IV</x:t>
  </x:si>
  <x:si>
    <x:t xml:space="preserve">D110 Neurologie</x:t>
  </x:si>
  <x:si>
    <x:t xml:space="preserve">C414 Innere Med I</x:t>
  </x:si>
  <x:si>
    <x:t xml:space="preserve">C314 Allgemeine Chirurgie</x:t>
  </x:si>
  <x:si>
    <x:t xml:space="preserve">UK Leipzig</x:t>
  </x:si>
  <x:si>
    <x:t xml:space="preserve">B00-2</x:t>
  </x:si>
  <x:si>
    <x:t xml:space="preserve">0300 Kardiologie</x:t>
  </x:si>
  <x:si>
    <x:t xml:space="preserve">J01-2</x:t>
  </x:si>
  <x:si>
    <x:t xml:space="preserve">F04-1</x:t>
  </x:si>
  <x:si>
    <x:t xml:space="preserve">F04-2</x:t>
  </x:si>
  <x:si>
    <x:t xml:space="preserve">F04-3</x:t>
  </x:si>
  <x:si>
    <x:t xml:space="preserve">UK Mainz (UKM)</x:t>
  </x:si>
  <x:si>
    <x:t xml:space="preserve">NC01</x:t>
  </x:si>
  <x:si>
    <x:t xml:space="preserve">M101</x:t>
  </x:si>
  <x:si>
    <x:t xml:space="preserve">HC06</x:t>
  </x:si>
  <x:si>
    <x:t xml:space="preserve">HC01</x:t>
  </x:si>
  <x:si>
    <x:t xml:space="preserve">HC07</x:t>
  </x:si>
  <x:si>
    <x:t xml:space="preserve">GY03</x:t>
  </x:si>
  <x:si>
    <x:t xml:space="preserve">2400 Frauenheilkunde und Geburtshilfe</x:t>
  </x:si>
  <x:si>
    <x:t xml:space="preserve">UK München (LMU)</x:t>
  </x:si>
  <x:si>
    <x:t xml:space="preserve">CHI1 NeuroCHI</x:t>
  </x:si>
  <x:si>
    <x:t xml:space="preserve">CHI2 UnfallOrtho</x:t>
  </x:si>
  <x:si>
    <x:t xml:space="preserve">INN3Hämatoonko</x:t>
  </x:si>
  <x:si>
    <x:t xml:space="preserve">CHI3 Ortho</x:t>
  </x:si>
  <x:si>
    <x:t xml:space="preserve">2300 Orthopädie</x:t>
  </x:si>
  <x:si>
    <x:t xml:space="preserve">INN1Kardio</x:t>
  </x:si>
  <x:si>
    <x:t xml:space="preserve">INN2Gastro</x:t>
  </x:si>
</x:sst>
</file>

<file path=xl/styles.xml><?xml version="1.0" encoding="utf-8"?>
<x:styleSheet xmlns:x="http://schemas.openxmlformats.org/spreadsheetml/2006/main">
  <x:numFmts count="4">
    <x:numFmt numFmtId="164" formatCode="yyyy\-mm\-dd;@"/>
    <x:numFmt numFmtId="200" formatCode="yyyy-mm-dd"/>
    <x:numFmt numFmtId="201" formatCode="yyyy-mm-dd hh:mm"/>
    <x:numFmt numFmtId="202" formatCode="0.00"/>
  </x:numFmts>
  <x:fonts count="27">
    <x:font>
      <x:sz val="11"/>
      <x:color theme="1"/>
      <x:name val="Calibri"/>
      <x:family val="2"/>
      <x:scheme val="minor"/>
    </x:font>
    <x:font>
      <x:sz val="11"/>
      <x:color theme="1"/>
      <x:name val="Calibri"/>
      <x:scheme val="minor"/>
    </x:font>
    <x:font>
      <x:b/>
      <x:sz val="11"/>
      <x:color theme="1"/>
      <x:name val="Calibri"/>
      <x:family val="2"/>
      <x:scheme val="minor"/>
    </x:font>
    <x:font>
      <x:sz val="11"/>
      <x:color rgb="FF000000"/>
      <x:name val="Calibri"/>
      <x:family val="2"/>
      <x:scheme val="minor"/>
    </x:font>
    <x:font>
      <x:sz val="11"/>
      <x:color rgb="FFFF0000"/>
      <x:name val="Calibri"/>
      <x:family val="2"/>
      <x:scheme val="minor"/>
    </x:font>
    <x:font>
      <x:i/>
      <x:sz val="11"/>
      <x:color theme="1"/>
      <x:name val="Calibri"/>
      <x:family val="2"/>
      <x:scheme val="minor"/>
    </x:font>
    <x:font>
      <x:sz val="11"/>
      <x:name val="Calibri"/>
      <x:family val="2"/>
      <x:scheme val="minor"/>
    </x:font>
    <x:font>
      <x:i/>
      <x:sz val="11"/>
      <x:name val="Calibri"/>
      <x:family val="2"/>
      <x:scheme val="minor"/>
    </x:font>
    <x:font>
      <x:sz val="10"/>
      <x:color rgb="FF000000"/>
      <x:name val="Aptos Narrow"/>
      <x:family val="2"/>
    </x:font>
    <x:font>
      <x:i/>
      <x:sz val="10"/>
      <x:color rgb="FF000000"/>
      <x:name val="Aptos Narrow"/>
      <x:family val="2"/>
    </x:font>
    <x:font>
      <x:sz val="11"/>
      <x:color theme="1"/>
      <x:name val="Calibri"/>
      <x:family val="2"/>
      <x:scheme val="minor"/>
    </x:font>
    <x:font>
      <x:sz val="11"/>
      <x:color rgb="FF000000"/>
      <x:name val="Calibri"/>
    </x:font>
    <x:font>
      <x:sz val="10"/>
      <x:color rgb="FF000000"/>
      <x:name val="Aptos Narrow"/>
    </x:font>
    <x:font>
      <x:i/>
      <x:sz val="10"/>
      <x:color rgb="FFFF0000"/>
      <x:name val="Aptos Narrow"/>
      <x:family val="2"/>
    </x:font>
    <x:font>
      <x:i/>
      <x:sz val="10"/>
      <x:color rgb="FF222222"/>
      <x:name val="Arial"/>
      <x:family val="2"/>
      <x:scheme val="minor"/>
    </x:font>
    <x:font>
      <x:sz val="10"/>
      <x:color rgb="FF222222"/>
      <x:name val="Arial"/>
      <x:family val="2"/>
      <x:scheme val="minor"/>
    </x:font>
    <x:font>
      <x:b/>
      <x:i/>
      <x:sz val="10"/>
      <x:color rgb="FF222222"/>
      <x:name val="Arial"/>
      <x:family val="2"/>
      <x:scheme val="minor"/>
    </x:font>
    <x:font>
      <x:b/>
      <x:sz val="10"/>
      <x:color rgb="FF222222"/>
      <x:name val="Arial"/>
      <x:family val="2"/>
      <x:scheme val="minor"/>
    </x:font>
    <x:font>
      <x:sz val="11"/>
      <x:color rgb="FF222222"/>
      <x:name val="Calibri"/>
      <x:family val="2"/>
      <x:scheme val="minor"/>
    </x:font>
    <x:font>
      <x:i/>
      <x:sz val="10"/>
      <x:color rgb="FF222222"/>
      <x:name val="Aptos Narrow"/>
      <x:family val="2"/>
    </x:font>
    <x:font>
      <x:sz val="10"/>
      <x:color rgb="FF222222"/>
      <x:name val="Aptos Narrow"/>
    </x:font>
    <x:font>
      <x:sz val="10"/>
      <x:color rgb="FF222222"/>
      <x:name val="Aptos Narrow"/>
      <x:family val="2"/>
    </x:font>
    <x:font>
      <x:i/>
      <x:sz val="11"/>
      <x:color rgb="FF222222"/>
      <x:name val="Calibri"/>
      <x:family val="2"/>
      <x:scheme val="minor"/>
    </x:font>
    <x:font>
      <x:sz val="11"/>
      <x:color rgb="FF222222"/>
      <x:name val="Calibri"/>
      <x:scheme val="minor"/>
    </x:font>
    <x:font>
      <x:sz val="11"/>
      <x:color rgb="FF222222"/>
      <x:name val="Calibri"/>
    </x:font>
    <x:font>
      <x:sz val="11"/>
      <x:color rgb="FF222222"/>
      <x:name val="Arial"/>
      <x:family val="2"/>
      <x:scheme val="minor"/>
    </x:font>
    <x:font>
      <x:b/>
      <x:sz val="13"/>
      <x:color rgb="FF222222"/>
      <x:name val="Arial"/>
      <x:family val="2"/>
      <x:scheme val="minor"/>
    </x:font>
  </x:fonts>
  <x:fills count="8">
    <x:fill>
      <x:patternFill patternType="none"/>
    </x:fill>
    <x:fill>
      <x:patternFill patternType="gray125"/>
    </x:fill>
    <x:fill>
      <x:patternFill patternType="solid">
        <x:fgColor theme="9" tint="0.79998"/>
      </x:patternFill>
    </x:fill>
    <x:fill>
      <x:patternFill patternType="solid">
        <x:fgColor theme="8" tint="0.79998"/>
      </x:patternFill>
    </x:fill>
    <x:fill>
      <x:patternFill patternType="solid">
        <x:fgColor theme="0"/>
      </x:patternFill>
    </x:fill>
    <x:fill>
      <x:patternFill patternType="solid">
        <x:fgColor rgb="FFE5E5E5"/>
      </x:patternFill>
    </x:fill>
    <x:fill>
      <x:patternFill patternType="solid">
        <x:fgColor rgb="FFD9D9D9"/>
      </x:patternFill>
    </x:fill>
    <x:fill>
      <x:patternFill patternType="solid">
        <x:fgColor rgb="FFF5F5F5"/>
      </x:patternFill>
    </x:fill>
  </x:fills>
  <x:borders count="5">
    <x:border>
      <x:left/>
      <x:right/>
      <x:top/>
      <x:bottom/>
      <x:diagonal/>
    </x:border>
    <x:border>
      <x:left/>
      <x:right/>
      <x:top/>
      <x:bottom style="thin">
        <x:color indexed="64"/>
      </x:bottom>
      <x:diagonal/>
    </x:border>
    <x:border>
      <x:left/>
      <x:right/>
      <x:top style="thin">
        <x:color indexed="64"/>
      </x:top>
      <x:bottom/>
      <x:diagonal/>
    </x:border>
    <x:border>
      <x:left/>
      <x:right/>
      <x:top/>
      <x:bottom style="thin">
        <x:color rgb="FF000000"/>
      </x:bottom>
      <x:diagonal/>
    </x:border>
    <x:border>
      <x:left/>
      <x:right/>
      <x:top style="thin">
        <x:color rgb="FF000000"/>
      </x:top>
      <x:bottom/>
      <x:diagonal/>
    </x:border>
  </x:borders>
  <x:cellStyleXfs count="1">
    <x:xf numFmtId="0" fontId="0" fillId="0" borderId="0"/>
  </x:cellStyleXfs>
  <x:cellXfs count="191">
    <x:xf numFmtId="0" fontId="0" fillId="0" borderId="0" xfId="0"/>
    <x:xf numFmtId="0" fontId="4" fillId="0" borderId="0" xfId="0" applyFont="1" applyAlignment="1">
      <x:alignment vertical="center"/>
    </x:xf>
    <x:xf numFmtId="0" fontId="0" fillId="0" borderId="0" xfId="0" applyAlignment="1">
      <x:alignment wrapText="1"/>
    </x:xf>
    <x:xf numFmtId="0" fontId="0" fillId="0" borderId="1" xfId="0" applyBorder="1" applyAlignment="1">
      <x:alignment wrapText="1"/>
    </x:xf>
    <x:xf numFmtId="0" fontId="6" fillId="0" borderId="0" xfId="0" applyFont="1" applyAlignment="1">
      <x:alignment wrapText="1"/>
    </x:xf>
    <x:xf numFmtId="0" fontId="5" fillId="2" borderId="0" xfId="0" applyFont="1" applyFill="1"/>
    <x:xf numFmtId="0" fontId="5" fillId="0" borderId="0" xfId="0" applyFont="1"/>
    <x:xf numFmtId="0" fontId="7" fillId="3" borderId="0" xfId="0" applyFont="1" applyFill="1"/>
    <x:xf numFmtId="0" fontId="7" fillId="0" borderId="0" xfId="0" applyFont="1"/>
    <x:xf numFmtId="0" fontId="5" fillId="3" borderId="0" xfId="0" applyFont="1" applyFill="1"/>
    <x:xf numFmtId="0" fontId="3" fillId="0" borderId="0" xfId="0" applyFont="1"/>
    <x:xf numFmtId="0" fontId="0" fillId="0" borderId="1" xfId="0" applyBorder="1"/>
    <x:xf numFmtId="0" fontId="3" fillId="0" borderId="1" xfId="0" applyFont="1" applyBorder="1"/>
    <x:xf numFmtId="0" fontId="7" fillId="3" borderId="1" xfId="0" applyFont="1" applyFill="1" applyBorder="1"/>
    <x:xf numFmtId="0" fontId="5" fillId="3" borderId="1" xfId="0" applyFont="1" applyFill="1" applyBorder="1"/>
    <x:xf numFmtId="0" fontId="6" fillId="0" borderId="0" xfId="0" applyFont="1"/>
    <x:xf numFmtId="0" fontId="2" fillId="0" borderId="1" xfId="0" applyFont="1" applyBorder="1" applyAlignment="1">
      <x:alignment horizontal="center" vertical="center"/>
    </x:xf>
    <x:xf numFmtId="0" fontId="4" fillId="0" borderId="1" xfId="0" applyFont="1" applyBorder="1" applyAlignment="1">
      <x:alignment horizontal="center" vertical="center" wrapText="1"/>
    </x:xf>
    <x:xf numFmtId="164" fontId="8" fillId="0" borderId="2" xfId="0" applyNumberFormat="1" applyFont="1" applyBorder="1"/>
    <x:xf numFmtId="164" fontId="8" fillId="0" borderId="0" xfId="0" applyNumberFormat="1" applyFont="1"/>
    <x:xf numFmtId="164" fontId="8" fillId="0" borderId="1" xfId="0" applyNumberFormat="1" applyFont="1" applyBorder="1"/>
    <x:xf numFmtId="0" fontId="6" fillId="0" borderId="1" xfId="0" applyFont="1" applyBorder="1"/>
    <x:xf numFmtId="164" fontId="9" fillId="3" borderId="0" xfId="0" applyNumberFormat="1" applyFont="1" applyFill="1"/>
    <x:xf numFmtId="164" fontId="9" fillId="3" borderId="1" xfId="0" applyNumberFormat="1" applyFont="1" applyFill="1" applyBorder="1"/>
    <x:xf numFmtId="0" fontId="0" fillId="0" borderId="2" xfId="0" applyBorder="1"/>
    <x:xf numFmtId="0" fontId="0" fillId="0" borderId="2" xfId="0" applyBorder="1" applyAlignment="1">
      <x:alignment wrapText="1"/>
    </x:xf>
    <x:xf numFmtId="0" fontId="3" fillId="0" borderId="2" xfId="0" applyFont="1" applyBorder="1"/>
    <x:xf numFmtId="164" fontId="9" fillId="2" borderId="0" xfId="0" applyNumberFormat="1" applyFont="1" applyFill="1"/>
    <x:xf numFmtId="164" fontId="9" fillId="2" borderId="2" xfId="0" applyNumberFormat="1" applyFont="1" applyFill="1" applyBorder="1"/>
    <x:xf numFmtId="164" fontId="9" fillId="2" borderId="1" xfId="0" applyNumberFormat="1" applyFont="1" applyFill="1" applyBorder="1"/>
    <x:xf numFmtId="164" fontId="9" fillId="0" borderId="2" xfId="0" applyNumberFormat="1" applyFont="1" applyBorder="1"/>
    <x:xf numFmtId="164" fontId="9" fillId="0" borderId="0" xfId="0" applyNumberFormat="1" applyFont="1"/>
    <x:xf numFmtId="164" fontId="9" fillId="0" borderId="1" xfId="0" applyNumberFormat="1" applyFont="1" applyBorder="1"/>
    <x:xf numFmtId="0" fontId="7" fillId="0" borderId="2" xfId="0" applyFont="1" applyBorder="1"/>
    <x:xf numFmtId="0" fontId="5" fillId="0" borderId="1" xfId="0" applyFont="1" applyBorder="1"/>
    <x:xf numFmtId="0" fontId="0" fillId="0" borderId="3" xfId="0" applyBorder="1" applyAlignment="1">
      <x:alignment wrapText="1"/>
    </x:xf>
    <x:xf numFmtId="164" fontId="9" fillId="0" borderId="3" xfId="0" applyNumberFormat="1" applyFont="1" applyBorder="1"/>
    <x:xf numFmtId="0" fontId="0" fillId="0" borderId="3" xfId="0" applyBorder="1"/>
    <x:xf numFmtId="0" fontId="11" fillId="0" borderId="0" xfId="0" applyFont="1"/>
    <x:xf numFmtId="0" fontId="11" fillId="0" borderId="3" xfId="0" applyFont="1" applyBorder="1"/>
    <x:xf numFmtId="164" fontId="8" fillId="0" borderId="3" xfId="0" applyNumberFormat="1" applyFont="1" applyBorder="1"/>
    <x:xf numFmtId="164" fontId="9" fillId="4" borderId="0" xfId="0" applyNumberFormat="1" applyFont="1" applyFill="1"/>
    <x:xf numFmtId="0" fontId="7" fillId="0" borderId="1" xfId="0" applyFont="1" applyBorder="1"/>
    <x:xf numFmtId="14" fontId="12" fillId="0" borderId="0" xfId="0" applyNumberFormat="1" applyFont="1"/>
    <x:xf numFmtId="14" fontId="12" fillId="0" borderId="3" xfId="0" applyNumberFormat="1" applyFont="1" applyBorder="1"/>
    <x:xf numFmtId="164" fontId="9" fillId="0" borderId="4" xfId="0" applyNumberFormat="1" applyFont="1" applyBorder="1"/>
    <x:xf numFmtId="0" fontId="10" fillId="0" borderId="3" xfId="0" applyFont="1" applyBorder="1" applyAlignment="1">
      <x:alignment wrapText="1"/>
    </x:xf>
    <x:xf numFmtId="0" fontId="4" fillId="0" borderId="0" xfId="0" applyFont="1" applyAlignment="1">
      <x:alignment horizontal="left" vertical="center" wrapText="1"/>
    </x:xf>
    <x:xf numFmtId="0" fontId="0" fillId="0" borderId="0" xfId="0" applyAlignment="1">
      <x:alignment horizontal="left" wrapText="1"/>
    </x:xf>
    <x:xf numFmtId="164" fontId="13" fillId="0" borderId="3" xfId="0" applyNumberFormat="1" applyFont="1" applyBorder="1"/>
    <x:xf numFmtId="0" fontId="1" fillId="0" borderId="0" xfId="0" applyFont="1" applyAlignment="1">
      <x:alignment wrapText="1"/>
    </x:xf>
    <x:xf numFmtId="0" fontId="5" fillId="2" borderId="0" xfId="0" applyNumberFormat="1" applyFont="1" applyFill="1" applyBorder="1" applyAlignment="1">
      <x:alignment wrapText="1"/>
    </x:xf>
    <x:xf numFmtId="0" fontId="4" fillId="0" borderId="0" xfId="0" applyNumberFormat="1" applyFont="1" applyFill="1" applyBorder="1" applyAlignment="1">
      <x:alignment horizontal="left" vertical="center" wrapText="1"/>
    </x:xf>
    <x:xf numFmtId="0" fontId="7" fillId="3" borderId="0" xfId="0" applyNumberFormat="1" applyFont="1" applyFill="1" applyBorder="1" applyAlignment="1">
      <x:alignment wrapText="1"/>
    </x:xf>
    <x:xf numFmtId="0" fontId="14" fillId="2" borderId="0" xfId="0" applyNumberFormat="1" applyFont="1" applyFill="1" applyBorder="1" applyAlignment="1">
      <x:alignment wrapText="1"/>
    </x:xf>
    <x:xf numFmtId="0" fontId="15" fillId="0" borderId="0" xfId="0" applyNumberFormat="1" applyFont="1" applyFill="1" applyBorder="1" applyAlignment="1">
      <x:alignment horizontal="left" vertical="center" wrapText="1"/>
    </x:xf>
    <x:xf numFmtId="0" fontId="14" fillId="3" borderId="0" xfId="0" applyNumberFormat="1" applyFont="1" applyFill="1" applyBorder="1" applyAlignment="1">
      <x:alignment wrapText="1"/>
    </x:xf>
    <x:xf numFmtId="0" fontId="16" fillId="0" borderId="0" xfId="0" applyNumberFormat="1" applyFont="1" applyFill="1" applyBorder="1"/>
    <x:xf numFmtId="0" fontId="17" fillId="0" borderId="0" xfId="0" applyNumberFormat="1" applyFont="1" applyFill="1" applyBorder="1" applyAlignment="1">
      <x:alignment wrapText="1"/>
    </x:xf>
    <x:xf numFmtId="0" fontId="17" fillId="0" borderId="0" xfId="0" applyNumberFormat="1" applyFont="1" applyFill="1" applyBorder="1"/>
    <x:xf numFmtId="0" fontId="17" fillId="0" borderId="1" xfId="0" applyNumberFormat="1" applyFont="1" applyFill="1" applyBorder="1" applyAlignment="1">
      <x:alignment horizontal="center" vertical="center"/>
    </x:xf>
    <x:xf numFmtId="0" fontId="17" fillId="0" borderId="1"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5" borderId="0" xfId="0" applyNumberFormat="1" applyFont="1" applyFill="1" applyBorder="1" applyAlignment="1">
      <x:alignment wrapText="1"/>
    </x:xf>
    <x:xf numFmtId="0" fontId="17" fillId="5" borderId="0" xfId="0" applyNumberFormat="1" applyFont="1" applyFill="1" applyBorder="1" applyAlignment="1">
      <x:alignment wrapText="1"/>
    </x:xf>
    <x:xf numFmtId="0" fontId="17" fillId="5" borderId="1" xfId="0" applyNumberFormat="1" applyFont="1" applyFill="1" applyBorder="1" applyAlignment="1">
      <x:alignment horizontal="center" vertical="center" wrapText="1"/>
    </x:xf>
    <x:xf numFmtId="0" fontId="18" fillId="0" borderId="0" xfId="0" applyNumberFormat="1" applyFont="1" applyFill="1" applyBorder="1"/>
    <x:xf numFmtId="0" fontId="18" fillId="0" borderId="0" xfId="0" applyNumberFormat="1" applyFont="1" applyFill="1" applyBorder="1" applyAlignment="1">
      <x:alignment wrapText="1"/>
    </x:xf>
    <x:xf numFmtId="164" fontId="19" fillId="3" borderId="0" xfId="0" applyNumberFormat="1" applyFont="1" applyFill="1" applyBorder="1"/>
    <x:xf numFmtId="14" fontId="20" fillId="0" borderId="0" xfId="0" applyNumberFormat="1" applyFont="1" applyFill="1" applyBorder="1"/>
    <x:xf numFmtId="164" fontId="21" fillId="0" borderId="0" xfId="0" applyNumberFormat="1" applyFont="1" applyFill="1" applyBorder="1"/>
    <x:xf numFmtId="0" fontId="22" fillId="3" borderId="0" xfId="0" applyNumberFormat="1" applyFont="1" applyFill="1" applyBorder="1"/>
    <x:xf numFmtId="0" fontId="18" fillId="0" borderId="1" xfId="0" applyNumberFormat="1" applyFont="1" applyFill="1" applyBorder="1"/>
    <x:xf numFmtId="0" fontId="18" fillId="0" borderId="1" xfId="0" applyNumberFormat="1" applyFont="1" applyFill="1" applyBorder="1" applyAlignment="1">
      <x:alignment wrapText="1"/>
    </x:xf>
    <x:xf numFmtId="164" fontId="19" fillId="3" borderId="1" xfId="0" applyNumberFormat="1" applyFont="1" applyFill="1" applyBorder="1"/>
    <x:xf numFmtId="14" fontId="20" fillId="0" borderId="3" xfId="0" applyNumberFormat="1" applyFont="1" applyFill="1" applyBorder="1"/>
    <x:xf numFmtId="0" fontId="22" fillId="3" borderId="1" xfId="0" applyNumberFormat="1" applyFont="1" applyFill="1" applyBorder="1"/>
    <x:xf numFmtId="164" fontId="19" fillId="2" borderId="2" xfId="0" applyNumberFormat="1" applyFont="1" applyFill="1" applyBorder="1"/>
    <x:xf numFmtId="0" fontId="22" fillId="2" borderId="0" xfId="0" applyNumberFormat="1" applyFont="1" applyFill="1" applyBorder="1"/>
    <x:xf numFmtId="164" fontId="19" fillId="2" borderId="0" xfId="0" applyNumberFormat="1" applyFont="1" applyFill="1" applyBorder="1"/>
    <x:xf numFmtId="0" fontId="18" fillId="0" borderId="3" xfId="0" applyNumberFormat="1" applyFont="1" applyFill="1" applyBorder="1" applyAlignment="1">
      <x:alignment wrapText="1"/>
    </x:xf>
    <x:xf numFmtId="164" fontId="19" fillId="2" borderId="1" xfId="0" applyNumberFormat="1" applyFont="1" applyFill="1" applyBorder="1"/>
    <x:xf numFmtId="0" fontId="18" fillId="0" borderId="3" xfId="0" applyNumberFormat="1" applyFont="1" applyFill="1" applyBorder="1"/>
    <x:xf numFmtId="164" fontId="21" fillId="0" borderId="1" xfId="0" applyNumberFormat="1" applyFont="1" applyFill="1" applyBorder="1"/>
    <x:xf numFmtId="0" fontId="18" fillId="0" borderId="2" xfId="0" applyNumberFormat="1" applyFont="1" applyFill="1" applyBorder="1"/>
    <x:xf numFmtId="0" fontId="18" fillId="0" borderId="2" xfId="0" applyNumberFormat="1" applyFont="1" applyFill="1" applyBorder="1" applyAlignment="1">
      <x:alignment wrapText="1"/>
    </x:xf>
    <x:xf numFmtId="164" fontId="19" fillId="0" borderId="2" xfId="0" applyNumberFormat="1" applyFont="1" applyFill="1" applyBorder="1"/>
    <x:xf numFmtId="164" fontId="21" fillId="0" borderId="2" xfId="0" applyNumberFormat="1" applyFont="1" applyFill="1" applyBorder="1"/>
    <x:xf numFmtId="0" fontId="22" fillId="0" borderId="2" xfId="0" applyNumberFormat="1" applyFont="1" applyFill="1" applyBorder="1"/>
    <x:xf numFmtId="164" fontId="19" fillId="0" borderId="0" xfId="0" applyNumberFormat="1" applyFont="1" applyFill="1" applyBorder="1"/>
    <x:xf numFmtId="0" fontId="22" fillId="0" borderId="0" xfId="0" applyNumberFormat="1" applyFont="1" applyFill="1" applyBorder="1"/>
    <x:xf numFmtId="164" fontId="19" fillId="0" borderId="1" xfId="0" applyNumberFormat="1" applyFont="1" applyFill="1" applyBorder="1"/>
    <x:xf numFmtId="0" fontId="22" fillId="0" borderId="1" xfId="0" applyNumberFormat="1" applyFont="1" applyFill="1" applyBorder="1"/>
    <x:xf numFmtId="164" fontId="19" fillId="0" borderId="4" xfId="0" applyNumberFormat="1" applyFont="1" applyFill="1" applyBorder="1"/>
    <x:xf numFmtId="164" fontId="19" fillId="0" borderId="3" xfId="0" applyNumberFormat="1" applyFont="1" applyFill="1" applyBorder="1"/>
    <x:xf numFmtId="0" fontId="23" fillId="0" borderId="0" xfId="0" applyNumberFormat="1" applyFont="1" applyFill="1" applyBorder="1" applyAlignment="1">
      <x:alignment wrapText="1"/>
    </x:xf>
    <x:xf numFmtId="0" fontId="24" fillId="0" borderId="0" xfId="0" applyNumberFormat="1" applyFont="1" applyFill="1" applyBorder="1"/>
    <x:xf numFmtId="164" fontId="19" fillId="4" borderId="0" xfId="0" applyNumberFormat="1" applyFont="1" applyFill="1" applyBorder="1"/>
    <x:xf numFmtId="0" fontId="18" fillId="0" borderId="0" xfId="0" applyNumberFormat="1" applyFont="1" applyFill="1" applyBorder="1" applyAlignment="1">
      <x:alignment horizontal="left" wrapText="1"/>
    </x:xf>
    <x:xf numFmtId="0" fontId="24" fillId="0" borderId="3" xfId="0" applyNumberFormat="1" applyFont="1" applyFill="1" applyBorder="1"/>
    <x:xf numFmtId="164" fontId="21" fillId="0" borderId="3" xfId="0" applyNumberFormat="1" applyFont="1" applyFill="1" applyBorder="1"/>
    <x:xf numFmtId="200" fontId="19" fillId="3" borderId="0" xfId="0" applyNumberFormat="1" applyFont="1" applyFill="1" applyBorder="1"/>
    <x:xf numFmtId="200" fontId="20" fillId="0" borderId="0" xfId="0" applyNumberFormat="1" applyFont="1" applyFill="1" applyBorder="1"/>
    <x:xf numFmtId="200" fontId="21" fillId="0" borderId="0" xfId="0" applyNumberFormat="1" applyFont="1" applyFill="1" applyBorder="1"/>
    <x:xf numFmtId="200" fontId="19" fillId="3" borderId="1" xfId="0" applyNumberFormat="1" applyFont="1" applyFill="1" applyBorder="1"/>
    <x:xf numFmtId="200" fontId="20" fillId="0" borderId="3" xfId="0" applyNumberFormat="1" applyFont="1" applyFill="1" applyBorder="1"/>
    <x:xf numFmtId="200" fontId="19" fillId="2" borderId="2" xfId="0" applyNumberFormat="1" applyFont="1" applyFill="1" applyBorder="1"/>
    <x:xf numFmtId="200" fontId="19" fillId="2" borderId="0" xfId="0" applyNumberFormat="1" applyFont="1" applyFill="1" applyBorder="1"/>
    <x:xf numFmtId="200" fontId="19" fillId="2" borderId="1" xfId="0" applyNumberFormat="1" applyFont="1" applyFill="1" applyBorder="1"/>
    <x:xf numFmtId="200" fontId="21" fillId="0" borderId="1" xfId="0" applyNumberFormat="1" applyFont="1" applyFill="1" applyBorder="1"/>
    <x:xf numFmtId="200" fontId="19" fillId="0" borderId="2" xfId="0" applyNumberFormat="1" applyFont="1" applyFill="1" applyBorder="1"/>
    <x:xf numFmtId="200" fontId="21" fillId="0" borderId="2" xfId="0" applyNumberFormat="1" applyFont="1" applyFill="1" applyBorder="1"/>
    <x:xf numFmtId="200" fontId="19" fillId="0" borderId="0" xfId="0" applyNumberFormat="1" applyFont="1" applyFill="1" applyBorder="1"/>
    <x:xf numFmtId="200" fontId="19" fillId="0" borderId="1" xfId="0" applyNumberFormat="1" applyFont="1" applyFill="1" applyBorder="1"/>
    <x:xf numFmtId="200" fontId="19" fillId="0" borderId="4" xfId="0" applyNumberFormat="1" applyFont="1" applyFill="1" applyBorder="1"/>
    <x:xf numFmtId="200" fontId="19" fillId="0" borderId="3" xfId="0" applyNumberFormat="1" applyFont="1" applyFill="1" applyBorder="1"/>
    <x:xf numFmtId="200" fontId="19" fillId="4" borderId="0" xfId="0" applyNumberFormat="1" applyFont="1" applyFill="1" applyBorder="1"/>
    <x:xf numFmtId="200" fontId="21" fillId="0" borderId="3" xfId="0" applyNumberFormat="1" applyFont="1" applyFill="1" applyBorder="1"/>
    <x:xf numFmtId="200" fontId="19" fillId="3" borderId="0" xfId="0" applyNumberFormat="1" applyFont="1" applyFill="1" applyBorder="1" applyAlignment="1">
      <x:alignment horizontal="center"/>
    </x:xf>
    <x:xf numFmtId="200" fontId="20" fillId="0" borderId="0" xfId="0" applyNumberFormat="1" applyFont="1" applyFill="1" applyBorder="1" applyAlignment="1">
      <x:alignment horizontal="center"/>
    </x:xf>
    <x:xf numFmtId="200" fontId="21" fillId="0" borderId="0" xfId="0" applyNumberFormat="1" applyFont="1" applyFill="1" applyBorder="1" applyAlignment="1">
      <x:alignment horizontal="center"/>
    </x:xf>
    <x:xf numFmtId="200" fontId="19" fillId="3" borderId="1" xfId="0" applyNumberFormat="1" applyFont="1" applyFill="1" applyBorder="1" applyAlignment="1">
      <x:alignment horizontal="center"/>
    </x:xf>
    <x:xf numFmtId="200" fontId="20" fillId="0" borderId="3" xfId="0" applyNumberFormat="1" applyFont="1" applyFill="1" applyBorder="1" applyAlignment="1">
      <x:alignment horizontal="center"/>
    </x:xf>
    <x:xf numFmtId="200" fontId="19" fillId="2" borderId="2" xfId="0" applyNumberFormat="1" applyFont="1" applyFill="1" applyBorder="1" applyAlignment="1">
      <x:alignment horizontal="center"/>
    </x:xf>
    <x:xf numFmtId="200" fontId="19" fillId="2" borderId="0" xfId="0" applyNumberFormat="1" applyFont="1" applyFill="1" applyBorder="1" applyAlignment="1">
      <x:alignment horizontal="center"/>
    </x:xf>
    <x:xf numFmtId="200" fontId="19" fillId="2" borderId="1" xfId="0" applyNumberFormat="1" applyFont="1" applyFill="1" applyBorder="1" applyAlignment="1">
      <x:alignment horizontal="center"/>
    </x:xf>
    <x:xf numFmtId="200" fontId="21" fillId="0" borderId="1" xfId="0" applyNumberFormat="1" applyFont="1" applyFill="1" applyBorder="1" applyAlignment="1">
      <x:alignment horizontal="center"/>
    </x:xf>
    <x:xf numFmtId="200" fontId="19" fillId="0" borderId="2" xfId="0" applyNumberFormat="1" applyFont="1" applyFill="1" applyBorder="1" applyAlignment="1">
      <x:alignment horizontal="center"/>
    </x:xf>
    <x:xf numFmtId="200" fontId="21" fillId="0" borderId="2" xfId="0" applyNumberFormat="1" applyFont="1" applyFill="1" applyBorder="1" applyAlignment="1">
      <x:alignment horizontal="center"/>
    </x:xf>
    <x:xf numFmtId="200" fontId="19" fillId="0" borderId="0" xfId="0" applyNumberFormat="1" applyFont="1" applyFill="1" applyBorder="1" applyAlignment="1">
      <x:alignment horizontal="center"/>
    </x:xf>
    <x:xf numFmtId="200" fontId="19" fillId="0" borderId="1" xfId="0" applyNumberFormat="1" applyFont="1" applyFill="1" applyBorder="1" applyAlignment="1">
      <x:alignment horizontal="center"/>
    </x:xf>
    <x:xf numFmtId="200" fontId="19" fillId="0" borderId="4" xfId="0" applyNumberFormat="1" applyFont="1" applyFill="1" applyBorder="1" applyAlignment="1">
      <x:alignment horizontal="center"/>
    </x:xf>
    <x:xf numFmtId="200" fontId="19" fillId="0" borderId="3" xfId="0" applyNumberFormat="1" applyFont="1" applyFill="1" applyBorder="1" applyAlignment="1">
      <x:alignment horizontal="center"/>
    </x:xf>
    <x:xf numFmtId="200" fontId="19" fillId="4" borderId="0" xfId="0" applyNumberFormat="1" applyFont="1" applyFill="1" applyBorder="1" applyAlignment="1">
      <x:alignment horizontal="center"/>
    </x:xf>
    <x:xf numFmtId="200" fontId="21" fillId="0" borderId="3" xfId="0" applyNumberFormat="1" applyFont="1" applyFill="1" applyBorder="1" applyAlignment="1">
      <x:alignment horizontal="center"/>
    </x:xf>
    <x:xf numFmtId="0" fontId="18" fillId="0" borderId="0" xfId="0" applyNumberFormat="1" applyFont="1" applyFill="1" applyBorder="1" applyAlignment="1">
      <x:alignment horizontal="center"/>
    </x:xf>
    <x:xf numFmtId="0" fontId="18" fillId="0" borderId="1" xfId="0" applyNumberFormat="1" applyFont="1" applyFill="1" applyBorder="1" applyAlignment="1">
      <x:alignment horizontal="center"/>
    </x:xf>
    <x:xf numFmtId="0" fontId="18" fillId="0" borderId="2" xfId="0" applyNumberFormat="1" applyFont="1" applyFill="1" applyBorder="1" applyAlignment="1">
      <x:alignment horizontal="center"/>
    </x:xf>
    <x:xf numFmtId="0" fontId="18" fillId="0" borderId="0" xfId="0" applyNumberFormat="1" applyFont="1" applyFill="1" applyBorder="1" applyAlignment="1">
      <x:alignment horizontal="center" wrapText="1"/>
    </x:xf>
    <x:xf numFmtId="0" fontId="18" fillId="0" borderId="1" xfId="0" applyNumberFormat="1" applyFont="1" applyFill="1" applyBorder="1" applyAlignment="1">
      <x:alignment horizontal="center" wrapText="1"/>
    </x:xf>
    <x:xf numFmtId="0" fontId="18" fillId="0" borderId="2" xfId="0" applyNumberFormat="1" applyFont="1" applyFill="1" applyBorder="1" applyAlignment="1">
      <x:alignment horizontal="center" wrapText="1"/>
    </x:xf>
    <x:xf numFmtId="0" fontId="18" fillId="0" borderId="0" xfId="0" applyNumberFormat="1" applyFont="1" applyFill="1" applyBorder="1" applyAlignment="1">
      <x:alignment vertical="center"/>
    </x:xf>
    <x:xf numFmtId="0" fontId="18" fillId="0" borderId="0" xfId="0" applyNumberFormat="1" applyFont="1" applyFill="1" applyBorder="1" applyAlignment="1">
      <x:alignment vertical="center" wrapText="1"/>
    </x:xf>
    <x:xf numFmtId="200" fontId="19" fillId="3" borderId="0" xfId="0" applyNumberFormat="1" applyFont="1" applyFill="1" applyBorder="1" applyAlignment="1">
      <x:alignment horizontal="center" vertical="center"/>
    </x:xf>
    <x:xf numFmtId="200" fontId="20" fillId="0" borderId="0" xfId="0" applyNumberFormat="1" applyFont="1" applyFill="1" applyBorder="1" applyAlignment="1">
      <x:alignment horizontal="center" vertical="center"/>
    </x:xf>
    <x:xf numFmtId="200" fontId="21" fillId="0" borderId="0" xfId="0" applyNumberFormat="1" applyFont="1" applyFill="1" applyBorder="1" applyAlignment="1">
      <x:alignment horizontal="center" vertical="center"/>
    </x:xf>
    <x:xf numFmtId="0" fontId="22" fillId="3" borderId="0" xfId="0" applyNumberFormat="1" applyFont="1" applyFill="1" applyBorder="1" applyAlignment="1">
      <x:alignment vertical="center"/>
    </x:xf>
    <x:xf numFmtId="0" fontId="18" fillId="0" borderId="0" xfId="0" applyNumberFormat="1" applyFont="1" applyFill="1" applyBorder="1" applyAlignment="1">
      <x:alignment horizontal="center" vertical="center" wrapText="1"/>
    </x:xf>
    <x:xf numFmtId="0" fontId="18" fillId="0" borderId="1" xfId="0" applyNumberFormat="1" applyFont="1" applyFill="1" applyBorder="1" applyAlignment="1">
      <x:alignment vertical="center"/>
    </x:xf>
    <x:xf numFmtId="0" fontId="18" fillId="0" borderId="1" xfId="0" applyNumberFormat="1" applyFont="1" applyFill="1" applyBorder="1" applyAlignment="1">
      <x:alignment vertical="center" wrapText="1"/>
    </x:xf>
    <x:xf numFmtId="200" fontId="19" fillId="3" borderId="1" xfId="0" applyNumberFormat="1" applyFont="1" applyFill="1" applyBorder="1" applyAlignment="1">
      <x:alignment horizontal="center" vertical="center"/>
    </x:xf>
    <x:xf numFmtId="200" fontId="20" fillId="0" borderId="3" xfId="0" applyNumberFormat="1" applyFont="1" applyFill="1" applyBorder="1" applyAlignment="1">
      <x:alignment horizontal="center" vertical="center"/>
    </x:xf>
    <x:xf numFmtId="0" fontId="22" fillId="3" borderId="1" xfId="0" applyNumberFormat="1" applyFont="1" applyFill="1" applyBorder="1" applyAlignment="1">
      <x:alignment vertical="center"/>
    </x:xf>
    <x:xf numFmtId="0" fontId="18" fillId="0" borderId="1" xfId="0" applyNumberFormat="1" applyFont="1" applyFill="1" applyBorder="1" applyAlignment="1">
      <x:alignment horizontal="center" vertical="center" wrapText="1"/>
    </x:xf>
    <x:xf numFmtId="200" fontId="19" fillId="2" borderId="2" xfId="0" applyNumberFormat="1" applyFont="1" applyFill="1" applyBorder="1" applyAlignment="1">
      <x:alignment horizontal="center" vertical="center"/>
    </x:xf>
    <x:xf numFmtId="0" fontId="22" fillId="2" borderId="0" xfId="0" applyNumberFormat="1" applyFont="1" applyFill="1" applyBorder="1" applyAlignment="1">
      <x:alignment vertical="center"/>
    </x:xf>
    <x:xf numFmtId="200" fontId="19" fillId="2" borderId="0" xfId="0" applyNumberFormat="1" applyFont="1" applyFill="1" applyBorder="1" applyAlignment="1">
      <x:alignment horizontal="center" vertical="center"/>
    </x:xf>
    <x:xf numFmtId="0" fontId="18" fillId="0" borderId="3" xfId="0" applyNumberFormat="1" applyFont="1" applyFill="1" applyBorder="1" applyAlignment="1">
      <x:alignment vertical="center" wrapText="1"/>
    </x:xf>
    <x:xf numFmtId="200" fontId="19" fillId="2" borderId="1" xfId="0" applyNumberFormat="1" applyFont="1" applyFill="1" applyBorder="1" applyAlignment="1">
      <x:alignment horizontal="center" vertical="center"/>
    </x:xf>
    <x:xf numFmtId="200" fontId="21" fillId="0" borderId="1" xfId="0" applyNumberFormat="1" applyFont="1" applyFill="1" applyBorder="1" applyAlignment="1">
      <x:alignment horizontal="center" vertical="center"/>
    </x:xf>
    <x:xf numFmtId="0" fontId="18" fillId="0" borderId="2" xfId="0" applyNumberFormat="1" applyFont="1" applyFill="1" applyBorder="1" applyAlignment="1">
      <x:alignment vertical="center"/>
    </x:xf>
    <x:xf numFmtId="0" fontId="18" fillId="0" borderId="2" xfId="0" applyNumberFormat="1" applyFont="1" applyFill="1" applyBorder="1" applyAlignment="1">
      <x:alignment vertical="center" wrapText="1"/>
    </x:xf>
    <x:xf numFmtId="200" fontId="19" fillId="0" borderId="2" xfId="0" applyNumberFormat="1" applyFont="1" applyFill="1" applyBorder="1" applyAlignment="1">
      <x:alignment horizontal="center" vertical="center"/>
    </x:xf>
    <x:xf numFmtId="200" fontId="21" fillId="0" borderId="2" xfId="0" applyNumberFormat="1" applyFont="1" applyFill="1" applyBorder="1" applyAlignment="1">
      <x:alignment horizontal="center" vertical="center"/>
    </x:xf>
    <x:xf numFmtId="0" fontId="22" fillId="0" borderId="2" xfId="0" applyNumberFormat="1" applyFont="1" applyFill="1" applyBorder="1" applyAlignment="1">
      <x:alignment vertical="center"/>
    </x:xf>
    <x:xf numFmtId="0" fontId="18" fillId="0" borderId="2" xfId="0" applyNumberFormat="1" applyFont="1" applyFill="1" applyBorder="1" applyAlignment="1">
      <x:alignment horizontal="center" vertical="center" wrapText="1"/>
    </x:xf>
    <x:xf numFmtId="200" fontId="19" fillId="0" borderId="0" xfId="0" applyNumberFormat="1" applyFont="1" applyFill="1" applyBorder="1" applyAlignment="1">
      <x:alignment horizontal="center" vertical="center"/>
    </x:xf>
    <x:xf numFmtId="0" fontId="22" fillId="0" borderId="0" xfId="0" applyNumberFormat="1" applyFont="1" applyFill="1" applyBorder="1" applyAlignment="1">
      <x:alignment vertical="center"/>
    </x:xf>
    <x:xf numFmtId="200" fontId="19" fillId="0" borderId="1" xfId="0" applyNumberFormat="1" applyFont="1" applyFill="1" applyBorder="1" applyAlignment="1">
      <x:alignment horizontal="center" vertical="center"/>
    </x:xf>
    <x:xf numFmtId="0" fontId="22" fillId="0" borderId="1" xfId="0" applyNumberFormat="1" applyFont="1" applyFill="1" applyBorder="1" applyAlignment="1">
      <x:alignment vertical="center"/>
    </x:xf>
    <x:xf numFmtId="200" fontId="19" fillId="0" borderId="4" xfId="0" applyNumberFormat="1" applyFont="1" applyFill="1" applyBorder="1" applyAlignment="1">
      <x:alignment horizontal="center" vertical="center"/>
    </x:xf>
    <x:xf numFmtId="164" fontId="21" fillId="0" borderId="1" xfId="0" applyNumberFormat="1" applyFont="1" applyFill="1" applyBorder="1" applyAlignment="1">
      <x:alignment vertical="center"/>
    </x:xf>
    <x:xf numFmtId="164" fontId="19" fillId="0" borderId="1" xfId="0" applyNumberFormat="1" applyFont="1" applyFill="1" applyBorder="1" applyAlignment="1">
      <x:alignment vertical="center"/>
    </x:xf>
    <x:xf numFmtId="200" fontId="19" fillId="0" borderId="3" xfId="0" applyNumberFormat="1" applyFont="1" applyFill="1" applyBorder="1" applyAlignment="1">
      <x:alignment horizontal="center" vertical="center"/>
    </x:xf>
    <x:xf numFmtId="0" fontId="23" fillId="0" borderId="0" xfId="0" applyNumberFormat="1" applyFont="1" applyFill="1" applyBorder="1" applyAlignment="1">
      <x:alignment vertical="center" wrapText="1"/>
    </x:xf>
    <x:xf numFmtId="0" fontId="24" fillId="0" borderId="0" xfId="0" applyNumberFormat="1" applyFont="1" applyFill="1" applyBorder="1" applyAlignment="1">
      <x:alignment vertical="center"/>
    </x:xf>
    <x:xf numFmtId="200" fontId="19" fillId="4" borderId="0" xfId="0" applyNumberFormat="1" applyFont="1" applyFill="1" applyBorder="1" applyAlignment="1">
      <x:alignment horizontal="center" vertical="center"/>
    </x:xf>
    <x:xf numFmtId="0" fontId="18" fillId="0" borderId="0" xfId="0" applyNumberFormat="1" applyFont="1" applyFill="1" applyBorder="1" applyAlignment="1">
      <x:alignment horizontal="left" vertical="center" wrapText="1"/>
    </x:xf>
    <x:xf numFmtId="0" fontId="24" fillId="0" borderId="3" xfId="0" applyNumberFormat="1" applyFont="1" applyFill="1" applyBorder="1" applyAlignment="1">
      <x:alignment vertical="center"/>
    </x:xf>
    <x:xf numFmtId="200" fontId="21" fillId="0" borderId="3" xfId="0" applyNumberFormat="1" applyFont="1" applyFill="1" applyBorder="1" applyAlignment="1">
      <x:alignment horizontal="center" vertical="center"/>
    </x:xf>
    <x:xf numFmtId="0" fontId="25" fillId="0" borderId="0" xfId="0" applyNumberFormat="1" applyFont="1" applyFill="1" applyBorder="1"/>
    <x:xf numFmtId="0" fontId="25" fillId="0" borderId="0" xfId="0" applyNumberFormat="1" applyFont="1" applyFill="1" applyBorder="1" applyAlignment="1">
      <x:alignment vertical="center"/>
    </x:xf>
    <x:xf numFmtId="0" fontId="25" fillId="0" borderId="0" xfId="0" applyNumberFormat="1" applyFont="1" applyFill="1" applyBorder="1" applyAlignment="1">
      <x:alignment vertical="center" wrapText="1"/>
    </x:xf>
    <x:xf numFmtId="0" fontId="25" fillId="6" borderId="0" xfId="0" applyNumberFormat="1" applyFont="1" applyFill="1" applyBorder="1" applyAlignment="1">
      <x:alignment vertical="center" wrapText="1"/>
    </x:xf>
    <x:xf numFmtId="0" fontId="26" fillId="6" borderId="0" xfId="0" applyNumberFormat="1" applyFont="1" applyFill="1" applyBorder="1" applyAlignment="1">
      <x:alignment vertical="center" wrapText="1"/>
    </x:xf>
    <x:xf numFmtId="0" fontId="25" fillId="7" borderId="0" xfId="0" applyNumberFormat="1" applyFont="1" applyFill="1" applyBorder="1" applyAlignment="1">
      <x:alignment vertical="center" wrapText="1"/>
    </x:xf>
    <x:xf numFmtId="0" fontId="25" fillId="6" borderId="0" xfId="0" applyNumberFormat="1" applyFont="1" applyFill="1" applyBorder="1"/>
    <x:xf numFmtId="0" fontId="26" fillId="6" borderId="0" xfId="0" applyNumberFormat="1" applyFont="1" applyFill="1" applyBorder="1"/>
    <x:xf numFmtId="0" fontId="25" fillId="0" borderId="0" xfId="0" applyNumberFormat="1" applyFont="1" applyFill="1" applyBorder="1" applyAlignment="1">
      <x:alignment wrapText="1"/>
    </x:xf>
    <x:xf numFmtId="201" fontId="25" fillId="0" borderId="0" xfId="0" applyNumberFormat="1" applyFont="1" applyFill="1" applyBorder="1" applyAlignment="1">
      <x:alignment vertical="center" wrapText="1"/>
    </x:xf>
    <x:xf numFmtId="202" fontId="25" fillId="0" borderId="0" xfId="0" applyNumberFormat="1" applyFont="1" applyFill="1" applyBorder="1" applyAlignment="1">
      <x:alignment vertical="center" wrapText="1"/>
    </x:xf>
  </x:cellXfs>
  <x:cellStyles count="1">
    <x:cellStyle name="Normal" xfId="0"/>
  </x:cellStyles>
  <x:dxfs count="25">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457f935a1e4a61" /><Relationship Type="http://schemas.openxmlformats.org/officeDocument/2006/relationships/theme" Target="/xl/theme/theme1.xml" Id="Rc15ce73016e44282" /><Relationship Type="http://schemas.openxmlformats.org/officeDocument/2006/relationships/sharedStrings" Target="/xl/sharedStrings.xml" Id="R44500db26906495b" /><Relationship Type="http://schemas.openxmlformats.org/officeDocument/2006/relationships/worksheet" Target="/xl/worksheets/sheet1.xml" Id="R413928cdd98949d6" /><Relationship Type="http://schemas.openxmlformats.org/officeDocument/2006/relationships/worksheet" Target="/xl/worksheets/sheet2.xml" Id="R9cf38fa58b8f4bc8" /><Relationship Type="http://schemas.openxmlformats.org/officeDocument/2006/relationships/worksheet" Target="/xl/worksheets/sheet3.xml" Id="R41ac2b63b06548c0" /><Relationship Type="http://schemas.microsoft.com/office/2017/10/relationships/person" Target="/xl/persons/person.xml" Id="R85e8eb1b4a264490" /></Relationships>
</file>

<file path=xl/persons/person.xml><?xml version="1.0" encoding="utf-8"?>
<ns0:personList xmlns:ns0="http://schemas.microsoft.com/office/spreadsheetml/2018/threadedcomments">
  <ns0:person displayName="INTERPOLAR" id="{6B3B8C36-FD3B-09C0-15F5-E357A728C600}"/>
</ns0:personList>
</file>

<file path=xl/tables/table1.xml><?xml version="1.0" encoding="utf-8"?>
<x:table xmlns:x="http://schemas.openxmlformats.org/spreadsheetml/2006/main" id="1" name="IP_Stationskonfiguration" displayName="IP_Stationskonfiguration" ref="A4:T80" headerRowCount="1" totalsRowCount="0" totalsRowShown="0">
  <x:tableColumns count="20">
    <x:tableColumn id="1" name="site"/>
    <x:tableColumn id="2" name="geprüft Apotheke (Datum, Kürzel)"/>
    <x:tableColumn id="3" name="geprüft &amp; in toml geupdated DIZ (Datum, Kürzel)"/>
    <x:tableColumn id="4" name="ward_name"/>
    <x:tableColumn id="5" name="observation_start"/>
    <x:tableColumn id="6" name="crs_calendar_start"/>
    <x:tableColumn id="7" name="phase_b_calendar_start"/>
    <x:tableColumn id="8" name="last_study_day"/>
    <x:tableColumn id="9" name="department (according to Usual Care Survey)"/>
    <x:tableColumn id="10" name="ward_type (surgical / internistic) "/>
    <x:tableColumn id="11" name="Geltende Festlegung"/>
    <x:tableColumn id="12" name="Grund / Quellenhinweis"/>
    <x:tableColumn id="13" name="include_bs"/>
    <x:tableColumn id="14" name="include_crs_a"/>
    <x:tableColumn id="15" name="include_crs_b"/>
    <x:tableColumn id="16" name="include_res"/>
    <x:tableColumn id="17" name="include_trs"/>
    <x:tableColumn id="18" name="meda_service_status"/>
    <x:tableColumn id="19" name="retro_service_status"/>
    <x:tableColumn id="20" name="bs_end_mode"/>
  </x:tableColumns>
  <x:tableStyleInfo name="TableStyleLight1" showFirstColumn="0" showLastColumn="0" showRowStripes="1" showColumnStripes="0"/>
</x:table>
</file>

<file path=xl/tables/table2.xml><?xml version="1.0" encoding="utf-8"?>
<x:table xmlns:x="http://schemas.openxmlformats.org/spreadsheetml/2006/main" id="2" name="IP_Studienfenster" displayName="IP_Studienfenster" ref="A4:N384" headerRowCount="1" totalsRowCount="0" totalsRowShown="0">
  <x:tableColumns count="14">
    <x:tableColumn id="1" name="Standort"/>
    <x:tableColumn id="2" name="Station"/>
    <x:tableColumn id="3" name="Studie"/>
    <x:tableColumn id="4" name="Station zugelassen"/>
    <x:tableColumn id="5" name="Beginn einschl."/>
    <x:tableColumn id="6" name="Ende ausschl."/>
    <x:tableColumn id="7" name="Fensterstatus"/>
    <x:tableColumn id="8" name="BC erforderlich"/>
    <x:tableColumn id="9" name="Retrol. MRP erforderlich"/>
    <x:tableColumn id="10" name="Retrol. Erhebung vor Ort"/>
    <x:tableColumn id="11" name="Studiendauer (Tage)"/>
    <x:tableColumn id="12" name="Stationszeile"/>
    <x:tableColumn id="13" name="Geltende Festlegung"/>
    <x:tableColumn id="14" name="Konfigurationsversion"/>
  </x:tableColumns>
  <x:tableStyleInfo name="TableStyleLight1" showFirstColumn="0" showLastColumn="0" showRowStripes="1" showColumnStripes="0"/>
</x: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a4efa2cd1edf40f7" /><Relationship Type="http://schemas.openxmlformats.org/officeDocument/2006/relationships/vmlDrawing" Target="/xl/drawings/vmldrawing.vml" Id="Ra022bf0334ca4437" /><Relationship Type="http://schemas.openxmlformats.org/officeDocument/2006/relationships/table" Target="/xl/tables/table1.xml" Id="Rc71ddff3615a4e95" /></Relationships>
</file>

<file path=xl/worksheets/_rels/sheet3.xml.rels>&#65279;<?xml version="1.0" encoding="utf-8"?><Relationships xmlns="http://schemas.openxmlformats.org/package/2006/relationships"><Relationship Type="http://schemas.openxmlformats.org/officeDocument/2006/relationships/table" Target="/xl/tables/table2.xml" Id="R94ce996146f34002" /></Relationships>
</file>

<file path=xl/worksheets/sheet1.xml><?xml version="1.0" encoding="utf-8"?>
<x:worksheet xmlns:x="http://schemas.openxmlformats.org/spreadsheetml/2006/main">
  <x:sheetViews>
    <x:sheetView workbookViewId="0">
      <x:pane xSplit="1" ySplit="4" topLeftCell="B5" activePane="bottomRight" state="frozen"/>
    </x:sheetView>
  </x:sheetViews>
  <x:sheetFormatPr defaultColWidth="9.140625" defaultRowHeight="15"/>
  <x:cols>
    <x:col min="1" max="1" width="26.28515625" customWidth="1"/>
    <x:col min="2" max="2" width="24.7109375" style="2" customWidth="1"/>
    <x:col min="3" max="3" width="26.85546875" style="2" customWidth="1"/>
    <x:col min="4" max="4" width="49.5703125" customWidth="1"/>
    <x:col min="5" max="6" width="24.7109375" customWidth="1"/>
    <x:col min="7" max="7" width="24" hidden="0" customWidth="1"/>
    <x:col min="8" max="8" width="24" hidden="0" customWidth="1"/>
    <x:col min="9" max="9" width="56.85546875" customWidth="1"/>
    <x:col min="10" max="10" width="42.42578125" customWidth="1"/>
    <x:col min="11" max="11" width="58" hidden="0" customWidth="1"/>
    <x:col min="12" max="12" width="58" hidden="0" customWidth="1"/>
    <x:col min="5" max="5" width="24" hidden="0" customWidth="1"/>
    <x:col min="6" max="6" width="24" hidden="0" customWidth="1"/>
    <x:col min="13" max="13" width="14" hidden="0" customWidth="1"/>
    <x:col min="14" max="14" width="14" hidden="0" customWidth="1"/>
    <x:col min="15" max="15" width="14" hidden="0" customWidth="1"/>
    <x:col min="16" max="16" width="14" hidden="0" customWidth="1"/>
    <x:col min="17" max="17" width="14" hidden="0" customWidth="1"/>
    <x:col min="18" max="18" width="24" hidden="0" customWidth="1"/>
    <x:col min="19" max="19" width="24" hidden="0" customWidth="1"/>
    <x:col min="20" max="20" width="24" hidden="0" customWidth="1"/>
  </x:cols>
  <x:sheetData>
    <x:row r="1" ht="36" customHeight="1">
      <x:c r="A1" s="54" t="str">
        <x:v>Stand 28.10.2026</x:v>
      </x:c>
      <x:c r="B1" s="55" t="str">
        <x:v>Veröffentlichungsfassung: persönliche Prüfvermerke bleiben lokal. Studienzulassung und Zeitfenster sind unverändert. Die technische Umsetzung am Standort erfolgt gesondert.</x:v>
      </x:c>
      <x:c r="C1" s="55"/>
      <x:c r="E1" s="1"/>
      <x:c r="F1" s="1"/>
      <x:c r="J1" s="6"/>
    </x:row>
    <x:row r="2" ht="36" customHeight="1">
      <x:c r="A2" s="56" t="str">
        <x:v>IP-COHORT-2026-10-28-01</x:v>
      </x:c>
      <x:c r="B2" s="55"/>
      <x:c r="C2" s="55"/>
      <x:c r="D2" s="1"/>
      <x:c r="E2" s="1"/>
      <x:c r="F2" s="1"/>
    </x:row>
    <x:row r="3" ht="46" customHeight="1">
      <x:c r="A3" s="63"/>
      <x:c r="B3" s="64"/>
      <x:c r="C3" s="64"/>
      <x:c r="D3" s="64"/>
      <x:c r="E3" s="64" t="str">
        <x:v>Beginn Stationsbeobachtung</x:v>
      </x:c>
      <x:c r="F3" s="64" t="str">
        <x:v>Beginn CRS-Zeitachse am Standort</x:v>
      </x:c>
      <x:c r="G3" s="64" t="str">
        <x:v>Beginn Phase-B-Zeitachse</x:v>
      </x:c>
      <x:c r="H3" s="64" t="str">
        <x:v>Letzter Studientag einschließlich</x:v>
      </x:c>
      <x:c r="I3" s="64"/>
      <x:c r="J3" s="64"/>
      <x:c r="K3" s="64"/>
      <x:c r="L3" s="64"/>
      <x:c r="M3" s="64" t="str">
        <x:v>BS</x:v>
      </x:c>
      <x:c r="N3" s="64" t="str">
        <x:v>CRS-A</x:v>
      </x:c>
      <x:c r="O3" s="64" t="str">
        <x:v>CRS-B</x:v>
      </x:c>
      <x:c r="P3" s="64" t="str">
        <x:v>RES</x:v>
      </x:c>
      <x:c r="Q3" s="64" t="str">
        <x:v>TRS</x:v>
      </x:c>
      <x:c r="R3" s="64" t="str">
        <x:v>MedA vor Ort</x:v>
      </x:c>
      <x:c r="S3" s="64" t="str">
        <x:v>Retrolektive Bewertung vor Ort</x:v>
      </x:c>
      <x:c r="T3" s="64" t="str">
        <x:v>BS-Endregel</x:v>
      </x:c>
    </x:row>
    <x:row r="4" s="16" customFormat="1" ht="46" customHeight="1">
      <x:c r="A4" s="65" t="s">
        <x:v>0</x:v>
      </x:c>
      <x:c r="B4" s="65" t="s">
        <x:v>1</x:v>
      </x:c>
      <x:c r="C4" s="65" t="s">
        <x:v>2</x:v>
      </x:c>
      <x:c r="D4" s="65" t="s">
        <x:v>3</x:v>
      </x:c>
      <x:c r="E4" s="65" t="str">
        <x:v>observation_start</x:v>
      </x:c>
      <x:c r="F4" s="65" t="str">
        <x:v>crs_calendar_start</x:v>
      </x:c>
      <x:c r="G4" s="65" t="str">
        <x:v>phase_b_calendar_start</x:v>
      </x:c>
      <x:c r="H4" s="65" t="str">
        <x:v>last_study_day</x:v>
      </x:c>
      <x:c r="I4" s="65" t="s">
        <x:v>4</x:v>
      </x:c>
      <x:c r="J4" s="65" t="s">
        <x:v>5</x:v>
      </x:c>
      <x:c r="K4" s="65" t="str">
        <x:v>Geltende Festlegung</x:v>
      </x:c>
      <x:c r="L4" s="65" t="str">
        <x:v>Grund / Quellenhinweis</x:v>
      </x:c>
      <x:c r="M4" s="65" t="str">
        <x:v>include_bs</x:v>
      </x:c>
      <x:c r="N4" s="65" t="str">
        <x:v>include_crs_a</x:v>
      </x:c>
      <x:c r="O4" s="65" t="str">
        <x:v>include_crs_b</x:v>
      </x:c>
      <x:c r="P4" s="65" t="str">
        <x:v>include_res</x:v>
      </x:c>
      <x:c r="Q4" s="65" t="str">
        <x:v>include_trs</x:v>
      </x:c>
      <x:c r="R4" s="65" t="str">
        <x:v>meda_service_status</x:v>
      </x:c>
      <x:c r="S4" s="65" t="str">
        <x:v>retro_service_status</x:v>
      </x:c>
      <x:c r="T4" s="65" t="str">
        <x:v>bs_end_mode</x:v>
      </x:c>
    </x:row>
    <x:row r="5" ht="40" customHeight="1">
      <x:c r="A5" s="141" t="s">
        <x:v>6</x:v>
      </x:c>
      <x:c r="B5" s="142"/>
      <x:c r="C5" s="142"/>
      <x:c r="D5" s="141" t="s">
        <x:v>7</x:v>
      </x:c>
      <x:c r="E5" s="143" t="n">
        <x:v>45991</x:v>
      </x:c>
      <x:c r="F5" s="144" t="n">
        <x:v>46052</x:v>
      </x:c>
      <x:c r="G5" s="145" t="n">
        <x:v>46080</x:v>
      </x:c>
      <x:c r="H5" s="143" t="n">
        <x:v>46265</x:v>
      </x:c>
      <x:c r="I5" s="141" t="s">
        <x:v>8</x:v>
      </x:c>
      <x:c r="J5" s="146" t="s">
        <x:v>9</x:v>
      </x:c>
      <x:c r="K5" s="142" t="str"/>
      <x:c r="L5" s="142" t="str"/>
      <x:c r="M5" s="147" t="str">
        <x:v>ja</x:v>
      </x:c>
      <x:c r="N5" s="147" t="str">
        <x:v>ja</x:v>
      </x:c>
      <x:c r="O5" s="147" t="str">
        <x:v>ja</x:v>
      </x:c>
      <x:c r="P5" s="147" t="str">
        <x:v>ja</x:v>
      </x:c>
      <x:c r="Q5" s="147" t="str">
        <x:v>ja</x:v>
      </x:c>
      <x:c r="R5" s="142" t="str">
        <x:v>fallbezogen prüfen</x:v>
      </x:c>
      <x:c r="S5" s="142" t="str">
        <x:v>fallbezogen prüfen</x:v>
      </x:c>
      <x:c r="T5" s="142" t="str">
        <x:v>Phasengrenze</x:v>
      </x:c>
    </x:row>
    <x:row r="6" ht="40" customHeight="1">
      <x:c r="A6" s="141" t="s">
        <x:v>6</x:v>
      </x:c>
      <x:c r="B6" s="142"/>
      <x:c r="C6" s="142"/>
      <x:c r="D6" s="141" t="s">
        <x:v>10</x:v>
      </x:c>
      <x:c r="E6" s="143" t="n">
        <x:v>45981</x:v>
      </x:c>
      <x:c r="F6" s="144" t="n">
        <x:v>46052</x:v>
      </x:c>
      <x:c r="G6" s="145" t="n">
        <x:v>46080</x:v>
      </x:c>
      <x:c r="H6" s="143" t="n">
        <x:v>46265</x:v>
      </x:c>
      <x:c r="I6" s="141" t="s">
        <x:v>11</x:v>
      </x:c>
      <x:c r="J6" s="146" t="s">
        <x:v>12</x:v>
      </x:c>
      <x:c r="K6" s="142" t="str"/>
      <x:c r="L6" s="142" t="str"/>
      <x:c r="M6" s="147" t="str">
        <x:v>ja</x:v>
      </x:c>
      <x:c r="N6" s="147" t="str">
        <x:v>ja</x:v>
      </x:c>
      <x:c r="O6" s="147" t="str">
        <x:v>ja</x:v>
      </x:c>
      <x:c r="P6" s="147" t="str">
        <x:v>ja</x:v>
      </x:c>
      <x:c r="Q6" s="147" t="str">
        <x:v>ja</x:v>
      </x:c>
      <x:c r="R6" s="142" t="str">
        <x:v>fallbezogen prüfen</x:v>
      </x:c>
      <x:c r="S6" s="142" t="str">
        <x:v>fallbezogen prüfen</x:v>
      </x:c>
      <x:c r="T6" s="142" t="str">
        <x:v>Phasengrenze</x:v>
      </x:c>
    </x:row>
    <x:row r="7" ht="40" customHeight="1">
      <x:c r="A7" s="141" t="s">
        <x:v>6</x:v>
      </x:c>
      <x:c r="B7" s="142"/>
      <x:c r="C7" s="142"/>
      <x:c r="D7" s="141" t="s">
        <x:v>13</x:v>
      </x:c>
      <x:c r="E7" s="143" t="n">
        <x:v>45950</x:v>
      </x:c>
      <x:c r="F7" s="144" t="n">
        <x:v>46052</x:v>
      </x:c>
      <x:c r="G7" s="145" t="n">
        <x:v>46108</x:v>
      </x:c>
      <x:c r="H7" s="143" t="n">
        <x:v>46265</x:v>
      </x:c>
      <x:c r="I7" s="141" t="s">
        <x:v>14</x:v>
      </x:c>
      <x:c r="J7" s="146" t="s">
        <x:v>12</x:v>
      </x:c>
      <x:c r="K7" s="142" t="str"/>
      <x:c r="L7" s="142" t="str"/>
      <x:c r="M7" s="147" t="str">
        <x:v>ja</x:v>
      </x:c>
      <x:c r="N7" s="147" t="str">
        <x:v>ja</x:v>
      </x:c>
      <x:c r="O7" s="147" t="str">
        <x:v>ja</x:v>
      </x:c>
      <x:c r="P7" s="147" t="str">
        <x:v>ja</x:v>
      </x:c>
      <x:c r="Q7" s="147" t="str">
        <x:v>ja</x:v>
      </x:c>
      <x:c r="R7" s="142" t="str">
        <x:v>fallbezogen prüfen</x:v>
      </x:c>
      <x:c r="S7" s="142" t="str">
        <x:v>fallbezogen prüfen</x:v>
      </x:c>
      <x:c r="T7" s="142" t="str">
        <x:v>Phasengrenze</x:v>
      </x:c>
    </x:row>
    <x:row r="8" ht="40" customHeight="1">
      <x:c r="A8" s="141" t="s">
        <x:v>6</x:v>
      </x:c>
      <x:c r="B8" s="142"/>
      <x:c r="C8" s="142"/>
      <x:c r="D8" s="141" t="s">
        <x:v>15</x:v>
      </x:c>
      <x:c r="E8" s="143" t="n">
        <x:v>45950</x:v>
      </x:c>
      <x:c r="F8" s="144" t="n">
        <x:v>46052</x:v>
      </x:c>
      <x:c r="G8" s="145" t="n">
        <x:v>46108</x:v>
      </x:c>
      <x:c r="H8" s="143" t="n">
        <x:v>46265</x:v>
      </x:c>
      <x:c r="I8" s="141" t="s">
        <x:v>16</x:v>
      </x:c>
      <x:c r="J8" s="146" t="s">
        <x:v>9</x:v>
      </x:c>
      <x:c r="K8" s="142" t="str"/>
      <x:c r="L8" s="142" t="str"/>
      <x:c r="M8" s="147" t="str">
        <x:v>ja</x:v>
      </x:c>
      <x:c r="N8" s="147" t="str">
        <x:v>ja</x:v>
      </x:c>
      <x:c r="O8" s="147" t="str">
        <x:v>ja</x:v>
      </x:c>
      <x:c r="P8" s="147" t="str">
        <x:v>ja</x:v>
      </x:c>
      <x:c r="Q8" s="147" t="str">
        <x:v>ja</x:v>
      </x:c>
      <x:c r="R8" s="142" t="str">
        <x:v>fallbezogen prüfen</x:v>
      </x:c>
      <x:c r="S8" s="142" t="str">
        <x:v>fallbezogen prüfen</x:v>
      </x:c>
      <x:c r="T8" s="142" t="str">
        <x:v>Phasengrenze</x:v>
      </x:c>
    </x:row>
    <x:row r="9" ht="40" customHeight="1">
      <x:c r="A9" s="141" t="s">
        <x:v>6</x:v>
      </x:c>
      <x:c r="B9" s="142"/>
      <x:c r="C9" s="142"/>
      <x:c r="D9" s="141" t="s">
        <x:v>17</x:v>
      </x:c>
      <x:c r="E9" s="143" t="n">
        <x:v>45981</x:v>
      </x:c>
      <x:c r="F9" s="144" t="n">
        <x:v>46052</x:v>
      </x:c>
      <x:c r="G9" s="145" t="n">
        <x:v>46136</x:v>
      </x:c>
      <x:c r="H9" s="143" t="n">
        <x:v>46265</x:v>
      </x:c>
      <x:c r="I9" s="141" t="s">
        <x:v>18</x:v>
      </x:c>
      <x:c r="J9" s="146" t="s">
        <x:v>19</x:v>
      </x:c>
      <x:c r="K9" s="142" t="str"/>
      <x:c r="L9" s="142" t="str"/>
      <x:c r="M9" s="147" t="str">
        <x:v>ja</x:v>
      </x:c>
      <x:c r="N9" s="147" t="str">
        <x:v>ja</x:v>
      </x:c>
      <x:c r="O9" s="147" t="str">
        <x:v>ja</x:v>
      </x:c>
      <x:c r="P9" s="147" t="str">
        <x:v>ja</x:v>
      </x:c>
      <x:c r="Q9" s="147" t="str">
        <x:v>ja</x:v>
      </x:c>
      <x:c r="R9" s="142" t="str">
        <x:v>fallbezogen prüfen</x:v>
      </x:c>
      <x:c r="S9" s="142" t="str">
        <x:v>fallbezogen prüfen</x:v>
      </x:c>
      <x:c r="T9" s="142" t="str">
        <x:v>Phasengrenze</x:v>
      </x:c>
    </x:row>
    <x:row r="10" s="11" customFormat="1" ht="40" customHeight="1">
      <x:c r="A10" s="148" t="s">
        <x:v>6</x:v>
      </x:c>
      <x:c r="B10" s="149"/>
      <x:c r="C10" s="149"/>
      <x:c r="D10" s="148" t="s">
        <x:v>20</x:v>
      </x:c>
      <x:c r="E10" s="150" t="n">
        <x:v>45981</x:v>
      </x:c>
      <x:c r="F10" s="151" t="n">
        <x:v>46052</x:v>
      </x:c>
      <x:c r="G10" s="145" t="n">
        <x:v>46164</x:v>
      </x:c>
      <x:c r="H10" s="150" t="n">
        <x:v>46265</x:v>
      </x:c>
      <x:c r="I10" s="148" t="s">
        <x:v>21</x:v>
      </x:c>
      <x:c r="J10" s="152" t="s">
        <x:v>12</x:v>
      </x:c>
      <x:c r="K10" s="149" t="str"/>
      <x:c r="L10" s="149" t="str"/>
      <x:c r="M10" s="153" t="str">
        <x:v>ja</x:v>
      </x:c>
      <x:c r="N10" s="153" t="str">
        <x:v>ja</x:v>
      </x:c>
      <x:c r="O10" s="153" t="str">
        <x:v>ja</x:v>
      </x:c>
      <x:c r="P10" s="153" t="str">
        <x:v>ja</x:v>
      </x:c>
      <x:c r="Q10" s="153" t="str">
        <x:v>ja</x:v>
      </x:c>
      <x:c r="R10" s="149" t="str">
        <x:v>fallbezogen prüfen</x:v>
      </x:c>
      <x:c r="S10" s="149" t="str">
        <x:v>fallbezogen prüfen</x:v>
      </x:c>
      <x:c r="T10" s="149" t="str">
        <x:v>Phasengrenze</x:v>
      </x:c>
    </x:row>
    <x:row r="11" ht="92" customHeight="1">
      <x:c r="A11" s="141" t="s">
        <x:v>22</x:v>
      </x:c>
      <x:c r="B11" s="142"/>
      <x:c r="C11" s="142"/>
      <x:c r="D11" s="141" t="s">
        <x:v>23</x:v>
      </x:c>
      <x:c r="E11" s="143" t="n">
        <x:v>45649</x:v>
      </x:c>
      <x:c r="F11" s="143"/>
      <x:c r="G11" s="154"/>
      <x:c r="H11" s="143" t="n">
        <x:v>46203</x:v>
      </x:c>
      <x:c r="I11" s="141" t="s">
        <x:v>24</x:v>
      </x:c>
      <x:c r="J11" s="146" t="s">
        <x:v>12</x:v>
      </x:c>
      <x:c r="K11" s="142" t="str">
        <x:v>Nur BS und TRS; nie CRS-A/CRS-B und kein RES. BS-Endregel: Studienende, letzter Tag vollständig enthalten.</x:v>
      </x:c>
      <x:c r="L11" s="142" t="str">
        <x:v>Bonner phase_b2-Sondertermine begründen keine CRS-Teilnahme. Das bisherige BS-Enddatum aus F steht nun eindeutig als letzter Studientag in H.</x:v>
      </x:c>
      <x:c r="M11" s="147" t="str">
        <x:v>ja</x:v>
      </x:c>
      <x:c r="N11" s="147" t="str">
        <x:v>nein</x:v>
      </x:c>
      <x:c r="O11" s="147" t="str">
        <x:v>nein</x:v>
      </x:c>
      <x:c r="P11" s="147" t="str">
        <x:v>nein</x:v>
      </x:c>
      <x:c r="Q11" s="147" t="str">
        <x:v>ja</x:v>
      </x:c>
      <x:c r="R11" s="142" t="str">
        <x:v>fallbezogen prüfen</x:v>
      </x:c>
      <x:c r="S11" s="142" t="str">
        <x:v>nicht vorgesehen</x:v>
      </x:c>
      <x:c r="T11" s="142" t="str">
        <x:v>Studienende</x:v>
      </x:c>
    </x:row>
    <x:row r="12" ht="92" customHeight="1">
      <x:c r="A12" s="141" t="s">
        <x:v>22</x:v>
      </x:c>
      <x:c r="B12" s="142"/>
      <x:c r="C12" s="142"/>
      <x:c r="D12" s="155" t="s">
        <x:v>25</x:v>
      </x:c>
      <x:c r="E12" s="143" t="n">
        <x:v>45762</x:v>
      </x:c>
      <x:c r="F12" s="143"/>
      <x:c r="G12" s="156"/>
      <x:c r="H12" s="143" t="n">
        <x:v>46265</x:v>
      </x:c>
      <x:c r="I12" s="141" t="s">
        <x:v>26</x:v>
      </x:c>
      <x:c r="J12" s="146" t="s">
        <x:v>12</x:v>
      </x:c>
      <x:c r="K12" s="142" t="str">
        <x:v>Nur BS und TRS; nie CRS-A/CRS-B und kein RES. BS-Endregel: Studienende, letzter Tag vollständig enthalten.</x:v>
      </x:c>
      <x:c r="L12" s="142" t="str">
        <x:v>Bonner phase_b2-Sondertermine begründen keine CRS-Teilnahme. Das bisherige BS-Enddatum aus F steht nun eindeutig als letzter Studientag in H.</x:v>
      </x:c>
      <x:c r="M12" s="147" t="str">
        <x:v>ja</x:v>
      </x:c>
      <x:c r="N12" s="147" t="str">
        <x:v>nein</x:v>
      </x:c>
      <x:c r="O12" s="147" t="str">
        <x:v>nein</x:v>
      </x:c>
      <x:c r="P12" s="147" t="str">
        <x:v>nein</x:v>
      </x:c>
      <x:c r="Q12" s="147" t="str">
        <x:v>ja</x:v>
      </x:c>
      <x:c r="R12" s="142" t="str">
        <x:v>fallbezogen prüfen</x:v>
      </x:c>
      <x:c r="S12" s="142" t="str">
        <x:v>nicht vorgesehen</x:v>
      </x:c>
      <x:c r="T12" s="142" t="str">
        <x:v>Studienende</x:v>
      </x:c>
    </x:row>
    <x:row r="13" ht="92" customHeight="1">
      <x:c r="A13" s="141" t="s">
        <x:v>22</x:v>
      </x:c>
      <x:c r="B13" s="142"/>
      <x:c r="C13" s="142"/>
      <x:c r="D13" s="155" t="s">
        <x:v>27</x:v>
      </x:c>
      <x:c r="E13" s="143" t="n">
        <x:v>45762</x:v>
      </x:c>
      <x:c r="F13" s="143"/>
      <x:c r="G13" s="156"/>
      <x:c r="H13" s="143" t="n">
        <x:v>46265</x:v>
      </x:c>
      <x:c r="I13" s="141" t="s">
        <x:v>26</x:v>
      </x:c>
      <x:c r="J13" s="146" t="s">
        <x:v>12</x:v>
      </x:c>
      <x:c r="K13" s="142" t="str">
        <x:v>Nur BS und TRS; nie CRS-A/CRS-B und kein RES. BS-Endregel: Studienende, letzter Tag vollständig enthalten.</x:v>
      </x:c>
      <x:c r="L13" s="142" t="str">
        <x:v>Bonner phase_b2-Sondertermine begründen keine CRS-Teilnahme. Das bisherige BS-Enddatum aus F steht nun eindeutig als letzter Studientag in H.</x:v>
      </x:c>
      <x:c r="M13" s="147" t="str">
        <x:v>ja</x:v>
      </x:c>
      <x:c r="N13" s="147" t="str">
        <x:v>nein</x:v>
      </x:c>
      <x:c r="O13" s="147" t="str">
        <x:v>nein</x:v>
      </x:c>
      <x:c r="P13" s="147" t="str">
        <x:v>nein</x:v>
      </x:c>
      <x:c r="Q13" s="147" t="str">
        <x:v>ja</x:v>
      </x:c>
      <x:c r="R13" s="142" t="str">
        <x:v>fallbezogen prüfen</x:v>
      </x:c>
      <x:c r="S13" s="142" t="str">
        <x:v>nicht vorgesehen</x:v>
      </x:c>
      <x:c r="T13" s="142" t="str">
        <x:v>Studienende</x:v>
      </x:c>
    </x:row>
    <x:row r="14" ht="92" customHeight="1">
      <x:c r="A14" s="141" t="s">
        <x:v>22</x:v>
      </x:c>
      <x:c r="B14" s="142"/>
      <x:c r="C14" s="142"/>
      <x:c r="D14" s="141" t="s">
        <x:v>28</x:v>
      </x:c>
      <x:c r="E14" s="143" t="n">
        <x:v>45680</x:v>
      </x:c>
      <x:c r="F14" s="143"/>
      <x:c r="G14" s="156"/>
      <x:c r="H14" s="143" t="n">
        <x:v>46265</x:v>
      </x:c>
      <x:c r="I14" s="141" t="s">
        <x:v>29</x:v>
      </x:c>
      <x:c r="J14" s="146" t="s">
        <x:v>9</x:v>
      </x:c>
      <x:c r="K14" s="142" t="str">
        <x:v>Nur BS und TRS; nie CRS-A/CRS-B und kein RES. BS-Endregel: Studienende, letzter Tag vollständig enthalten.</x:v>
      </x:c>
      <x:c r="L14" s="142" t="str">
        <x:v>Bonner phase_b2-Sondertermine begründen keine CRS-Teilnahme. Das bisherige BS-Enddatum aus F steht nun eindeutig als letzter Studientag in H.</x:v>
      </x:c>
      <x:c r="M14" s="147" t="str">
        <x:v>ja</x:v>
      </x:c>
      <x:c r="N14" s="147" t="str">
        <x:v>nein</x:v>
      </x:c>
      <x:c r="O14" s="147" t="str">
        <x:v>nein</x:v>
      </x:c>
      <x:c r="P14" s="147" t="str">
        <x:v>nein</x:v>
      </x:c>
      <x:c r="Q14" s="147" t="str">
        <x:v>ja</x:v>
      </x:c>
      <x:c r="R14" s="142" t="str">
        <x:v>fallbezogen prüfen</x:v>
      </x:c>
      <x:c r="S14" s="142" t="str">
        <x:v>nicht vorgesehen</x:v>
      </x:c>
      <x:c r="T14" s="142" t="str">
        <x:v>Studienende</x:v>
      </x:c>
    </x:row>
    <x:row r="15" ht="92" customHeight="1">
      <x:c r="A15" s="141" t="s">
        <x:v>22</x:v>
      </x:c>
      <x:c r="B15" s="142"/>
      <x:c r="C15" s="142"/>
      <x:c r="D15" s="141" t="s">
        <x:v>30</x:v>
      </x:c>
      <x:c r="E15" s="143" t="n">
        <x:v>45687</x:v>
      </x:c>
      <x:c r="F15" s="143"/>
      <x:c r="G15" s="156"/>
      <x:c r="H15" s="143" t="n">
        <x:v>46265</x:v>
      </x:c>
      <x:c r="I15" s="141" t="s">
        <x:v>29</x:v>
      </x:c>
      <x:c r="J15" s="146" t="s">
        <x:v>9</x:v>
      </x:c>
      <x:c r="K15" s="142" t="str">
        <x:v>Nur BS und TRS; nie CRS-A/CRS-B und kein RES. BS-Endregel: Studienende, letzter Tag vollständig enthalten.</x:v>
      </x:c>
      <x:c r="L15" s="142" t="str">
        <x:v>Bonner phase_b2-Sondertermine begründen keine CRS-Teilnahme. Das bisherige BS-Enddatum aus F steht nun eindeutig als letzter Studientag in H.</x:v>
      </x:c>
      <x:c r="M15" s="147" t="str">
        <x:v>ja</x:v>
      </x:c>
      <x:c r="N15" s="147" t="str">
        <x:v>nein</x:v>
      </x:c>
      <x:c r="O15" s="147" t="str">
        <x:v>nein</x:v>
      </x:c>
      <x:c r="P15" s="147" t="str">
        <x:v>nein</x:v>
      </x:c>
      <x:c r="Q15" s="147" t="str">
        <x:v>ja</x:v>
      </x:c>
      <x:c r="R15" s="142" t="str">
        <x:v>fallbezogen prüfen</x:v>
      </x:c>
      <x:c r="S15" s="142" t="str">
        <x:v>nicht vorgesehen</x:v>
      </x:c>
      <x:c r="T15" s="142" t="str">
        <x:v>Studienende</x:v>
      </x:c>
    </x:row>
    <x:row r="16" s="11" customFormat="1" ht="92" customHeight="1">
      <x:c r="A16" s="148" t="s">
        <x:v>22</x:v>
      </x:c>
      <x:c r="B16" s="149"/>
      <x:c r="C16" s="157"/>
      <x:c r="D16" s="148" t="s">
        <x:v>31</x:v>
      </x:c>
      <x:c r="E16" s="150" t="n">
        <x:v>45685</x:v>
      </x:c>
      <x:c r="F16" s="150"/>
      <x:c r="G16" s="158"/>
      <x:c r="H16" s="150" t="n">
        <x:v>46265</x:v>
      </x:c>
      <x:c r="I16" s="148" t="s">
        <x:v>29</x:v>
      </x:c>
      <x:c r="J16" s="152" t="s">
        <x:v>9</x:v>
      </x:c>
      <x:c r="K16" s="157" t="str">
        <x:v>Nur BS und TRS; nie CRS-A/CRS-B und kein RES. BS-Endregel: Studienende, letzter Tag vollständig enthalten.</x:v>
      </x:c>
      <x:c r="L16" s="149" t="str">
        <x:v>Bonner phase_b2-Sondertermine begründen keine CRS-Teilnahme. Das bisherige BS-Enddatum aus F steht nun eindeutig als letzter Studientag in H.</x:v>
      </x:c>
      <x:c r="M16" s="153" t="str">
        <x:v>ja</x:v>
      </x:c>
      <x:c r="N16" s="153" t="str">
        <x:v>nein</x:v>
      </x:c>
      <x:c r="O16" s="153" t="str">
        <x:v>nein</x:v>
      </x:c>
      <x:c r="P16" s="153" t="str">
        <x:v>nein</x:v>
      </x:c>
      <x:c r="Q16" s="153" t="str">
        <x:v>ja</x:v>
      </x:c>
      <x:c r="R16" s="149" t="str">
        <x:v>fallbezogen prüfen</x:v>
      </x:c>
      <x:c r="S16" s="149" t="str">
        <x:v>nicht vorgesehen</x:v>
      </x:c>
      <x:c r="T16" s="149" t="str">
        <x:v>Studienende</x:v>
      </x:c>
    </x:row>
    <x:row r="17" ht="40" customHeight="1">
      <x:c r="A17" s="141" t="s">
        <x:v>32</x:v>
      </x:c>
      <x:c r="B17" s="142"/>
      <x:c r="C17" s="142"/>
      <x:c r="D17" s="141" t="s">
        <x:v>33</x:v>
      </x:c>
      <x:c r="E17" s="143" t="n">
        <x:v>45627</x:v>
      </x:c>
      <x:c r="F17" s="144" t="n">
        <x:v>46059</x:v>
      </x:c>
      <x:c r="G17" s="145" t="n">
        <x:v>46087</x:v>
      </x:c>
      <x:c r="H17" s="143" t="n">
        <x:v>46265</x:v>
      </x:c>
      <x:c r="I17" s="141" t="s">
        <x:v>14</x:v>
      </x:c>
      <x:c r="J17" s="146" t="s">
        <x:v>12</x:v>
      </x:c>
      <x:c r="K17" s="142" t="str"/>
      <x:c r="L17" s="142" t="str"/>
      <x:c r="M17" s="147" t="str">
        <x:v>ja</x:v>
      </x:c>
      <x:c r="N17" s="147" t="str">
        <x:v>ja</x:v>
      </x:c>
      <x:c r="O17" s="147" t="str">
        <x:v>ja</x:v>
      </x:c>
      <x:c r="P17" s="147" t="str">
        <x:v>ja</x:v>
      </x:c>
      <x:c r="Q17" s="147" t="str">
        <x:v>ja</x:v>
      </x:c>
      <x:c r="R17" s="142" t="str">
        <x:v>fallbezogen prüfen</x:v>
      </x:c>
      <x:c r="S17" s="142" t="str">
        <x:v>fallbezogen prüfen</x:v>
      </x:c>
      <x:c r="T17" s="142" t="str">
        <x:v>Phasengrenze</x:v>
      </x:c>
    </x:row>
    <x:row r="18" ht="40" customHeight="1">
      <x:c r="A18" s="141" t="s">
        <x:v>32</x:v>
      </x:c>
      <x:c r="B18" s="142"/>
      <x:c r="C18" s="142"/>
      <x:c r="D18" s="141" t="s">
        <x:v>34</x:v>
      </x:c>
      <x:c r="E18" s="143" t="n">
        <x:v>45627</x:v>
      </x:c>
      <x:c r="F18" s="144" t="n">
        <x:v>46059</x:v>
      </x:c>
      <x:c r="G18" s="145" t="n">
        <x:v>46087</x:v>
      </x:c>
      <x:c r="H18" s="143" t="n">
        <x:v>46265</x:v>
      </x:c>
      <x:c r="I18" s="141" t="s">
        <x:v>29</x:v>
      </x:c>
      <x:c r="J18" s="146" t="s">
        <x:v>9</x:v>
      </x:c>
      <x:c r="K18" s="142" t="str"/>
      <x:c r="L18" s="142" t="str"/>
      <x:c r="M18" s="147" t="str">
        <x:v>ja</x:v>
      </x:c>
      <x:c r="N18" s="147" t="str">
        <x:v>ja</x:v>
      </x:c>
      <x:c r="O18" s="147" t="str">
        <x:v>ja</x:v>
      </x:c>
      <x:c r="P18" s="147" t="str">
        <x:v>ja</x:v>
      </x:c>
      <x:c r="Q18" s="147" t="str">
        <x:v>ja</x:v>
      </x:c>
      <x:c r="R18" s="142" t="str">
        <x:v>fallbezogen prüfen</x:v>
      </x:c>
      <x:c r="S18" s="142" t="str">
        <x:v>fallbezogen prüfen</x:v>
      </x:c>
      <x:c r="T18" s="142" t="str">
        <x:v>Phasengrenze</x:v>
      </x:c>
    </x:row>
    <x:row r="19" ht="40" customHeight="1">
      <x:c r="A19" s="141" t="s">
        <x:v>32</x:v>
      </x:c>
      <x:c r="B19" s="142"/>
      <x:c r="C19" s="142"/>
      <x:c r="D19" s="141" t="s">
        <x:v>35</x:v>
      </x:c>
      <x:c r="E19" s="143" t="n">
        <x:v>45627</x:v>
      </x:c>
      <x:c r="F19" s="144" t="n">
        <x:v>46059</x:v>
      </x:c>
      <x:c r="G19" s="145" t="n">
        <x:v>46115</x:v>
      </x:c>
      <x:c r="H19" s="143" t="n">
        <x:v>46265</x:v>
      </x:c>
      <x:c r="I19" s="141" t="s">
        <x:v>24</x:v>
      </x:c>
      <x:c r="J19" s="146" t="s">
        <x:v>12</x:v>
      </x:c>
      <x:c r="K19" s="142" t="str"/>
      <x:c r="L19" s="142" t="str"/>
      <x:c r="M19" s="147" t="str">
        <x:v>ja</x:v>
      </x:c>
      <x:c r="N19" s="147" t="str">
        <x:v>ja</x:v>
      </x:c>
      <x:c r="O19" s="147" t="str">
        <x:v>ja</x:v>
      </x:c>
      <x:c r="P19" s="147" t="str">
        <x:v>ja</x:v>
      </x:c>
      <x:c r="Q19" s="147" t="str">
        <x:v>ja</x:v>
      </x:c>
      <x:c r="R19" s="142" t="str">
        <x:v>fallbezogen prüfen</x:v>
      </x:c>
      <x:c r="S19" s="142" t="str">
        <x:v>fallbezogen prüfen</x:v>
      </x:c>
      <x:c r="T19" s="142" t="str">
        <x:v>Phasengrenze</x:v>
      </x:c>
    </x:row>
    <x:row r="20" ht="40" customHeight="1">
      <x:c r="A20" s="141" t="s">
        <x:v>32</x:v>
      </x:c>
      <x:c r="B20" s="142"/>
      <x:c r="C20" s="142"/>
      <x:c r="D20" s="141" t="s">
        <x:v>36</x:v>
      </x:c>
      <x:c r="E20" s="143" t="n">
        <x:v>46054</x:v>
      </x:c>
      <x:c r="F20" s="144" t="n">
        <x:v>46059</x:v>
      </x:c>
      <x:c r="G20" s="145" t="n">
        <x:v>46115</x:v>
      </x:c>
      <x:c r="H20" s="143" t="n">
        <x:v>46265</x:v>
      </x:c>
      <x:c r="I20" s="146" t="s">
        <x:v>37</x:v>
      </x:c>
      <x:c r="J20" s="146" t="s">
        <x:v>19</x:v>
      </x:c>
      <x:c r="K20" s="142" t="str"/>
      <x:c r="L20" s="142" t="str"/>
      <x:c r="M20" s="147" t="str">
        <x:v>ja</x:v>
      </x:c>
      <x:c r="N20" s="147" t="str">
        <x:v>ja</x:v>
      </x:c>
      <x:c r="O20" s="147" t="str">
        <x:v>ja</x:v>
      </x:c>
      <x:c r="P20" s="147" t="str">
        <x:v>ja</x:v>
      </x:c>
      <x:c r="Q20" s="147" t="str">
        <x:v>ja</x:v>
      </x:c>
      <x:c r="R20" s="142" t="str">
        <x:v>fallbezogen prüfen</x:v>
      </x:c>
      <x:c r="S20" s="142" t="str">
        <x:v>fallbezogen prüfen</x:v>
      </x:c>
      <x:c r="T20" s="142" t="str">
        <x:v>Phasengrenze</x:v>
      </x:c>
    </x:row>
    <x:row r="21" ht="40" customHeight="1">
      <x:c r="A21" s="141" t="s">
        <x:v>32</x:v>
      </x:c>
      <x:c r="B21" s="142"/>
      <x:c r="C21" s="142"/>
      <x:c r="D21" s="141" t="s">
        <x:v>38</x:v>
      </x:c>
      <x:c r="E21" s="143" t="n">
        <x:v>45627</x:v>
      </x:c>
      <x:c r="F21" s="144" t="n">
        <x:v>46059</x:v>
      </x:c>
      <x:c r="G21" s="145" t="n">
        <x:v>46143</x:v>
      </x:c>
      <x:c r="H21" s="143" t="n">
        <x:v>46265</x:v>
      </x:c>
      <x:c r="I21" s="141" t="s">
        <x:v>39</x:v>
      </x:c>
      <x:c r="J21" s="146" t="s">
        <x:v>12</x:v>
      </x:c>
      <x:c r="K21" s="142" t="str"/>
      <x:c r="L21" s="142" t="str"/>
      <x:c r="M21" s="147" t="str">
        <x:v>ja</x:v>
      </x:c>
      <x:c r="N21" s="147" t="str">
        <x:v>ja</x:v>
      </x:c>
      <x:c r="O21" s="147" t="str">
        <x:v>ja</x:v>
      </x:c>
      <x:c r="P21" s="147" t="str">
        <x:v>ja</x:v>
      </x:c>
      <x:c r="Q21" s="147" t="str">
        <x:v>ja</x:v>
      </x:c>
      <x:c r="R21" s="142" t="str">
        <x:v>fallbezogen prüfen</x:v>
      </x:c>
      <x:c r="S21" s="142" t="str">
        <x:v>fallbezogen prüfen</x:v>
      </x:c>
      <x:c r="T21" s="142" t="str">
        <x:v>Phasengrenze</x:v>
      </x:c>
    </x:row>
    <x:row r="22" ht="40" customHeight="1">
      <x:c r="A22" s="141" t="s">
        <x:v>32</x:v>
      </x:c>
      <x:c r="B22" s="142"/>
      <x:c r="C22" s="142"/>
      <x:c r="D22" s="141" t="s">
        <x:v>40</x:v>
      </x:c>
      <x:c r="E22" s="143" t="n">
        <x:v>45627</x:v>
      </x:c>
      <x:c r="F22" s="144" t="n">
        <x:v>46059</x:v>
      </x:c>
      <x:c r="G22" s="145" t="n">
        <x:v>46143</x:v>
      </x:c>
      <x:c r="H22" s="143" t="n">
        <x:v>46265</x:v>
      </x:c>
      <x:c r="I22" s="141" t="s">
        <x:v>29</x:v>
      </x:c>
      <x:c r="J22" s="146" t="s">
        <x:v>9</x:v>
      </x:c>
      <x:c r="K22" s="142" t="str"/>
      <x:c r="L22" s="142" t="str"/>
      <x:c r="M22" s="147" t="str">
        <x:v>ja</x:v>
      </x:c>
      <x:c r="N22" s="147" t="str">
        <x:v>ja</x:v>
      </x:c>
      <x:c r="O22" s="147" t="str">
        <x:v>ja</x:v>
      </x:c>
      <x:c r="P22" s="147" t="str">
        <x:v>ja</x:v>
      </x:c>
      <x:c r="Q22" s="147" t="str">
        <x:v>ja</x:v>
      </x:c>
      <x:c r="R22" s="142" t="str">
        <x:v>fallbezogen prüfen</x:v>
      </x:c>
      <x:c r="S22" s="142" t="str">
        <x:v>fallbezogen prüfen</x:v>
      </x:c>
      <x:c r="T22" s="142" t="str">
        <x:v>Phasengrenze</x:v>
      </x:c>
    </x:row>
    <x:row r="23" s="11" customFormat="1" ht="40" customHeight="1">
      <x:c r="A23" s="148" t="s">
        <x:v>32</x:v>
      </x:c>
      <x:c r="B23" s="149"/>
      <x:c r="C23" s="149"/>
      <x:c r="D23" s="148" t="s">
        <x:v>41</x:v>
      </x:c>
      <x:c r="E23" s="150" t="n">
        <x:v>45627</x:v>
      </x:c>
      <x:c r="F23" s="151" t="n">
        <x:v>46059</x:v>
      </x:c>
      <x:c r="G23" s="159" t="n">
        <x:v>46171</x:v>
      </x:c>
      <x:c r="H23" s="150" t="n">
        <x:v>46265</x:v>
      </x:c>
      <x:c r="I23" s="148" t="s">
        <x:v>42</x:v>
      </x:c>
      <x:c r="J23" s="152" t="s">
        <x:v>9</x:v>
      </x:c>
      <x:c r="K23" s="149" t="str"/>
      <x:c r="L23" s="149" t="str"/>
      <x:c r="M23" s="153" t="str">
        <x:v>ja</x:v>
      </x:c>
      <x:c r="N23" s="153" t="str">
        <x:v>ja</x:v>
      </x:c>
      <x:c r="O23" s="153" t="str">
        <x:v>ja</x:v>
      </x:c>
      <x:c r="P23" s="153" t="str">
        <x:v>ja</x:v>
      </x:c>
      <x:c r="Q23" s="153" t="str">
        <x:v>ja</x:v>
      </x:c>
      <x:c r="R23" s="149" t="str">
        <x:v>fallbezogen prüfen</x:v>
      </x:c>
      <x:c r="S23" s="149" t="str">
        <x:v>fallbezogen prüfen</x:v>
      </x:c>
      <x:c r="T23" s="149" t="str">
        <x:v>Phasengrenze</x:v>
      </x:c>
    </x:row>
    <x:row r="24" ht="40" customHeight="1">
      <x:c r="A24" s="141" t="s">
        <x:v>43</x:v>
      </x:c>
      <x:c r="B24" s="142"/>
      <x:c r="C24" s="142"/>
      <x:c r="D24" s="141" t="s">
        <x:v>44</x:v>
      </x:c>
      <x:c r="E24" s="143" t="n">
        <x:v>45715</x:v>
      </x:c>
      <x:c r="F24" s="144" t="n">
        <x:v>46017</x:v>
      </x:c>
      <x:c r="G24" s="145" t="n">
        <x:v>46045</x:v>
      </x:c>
      <x:c r="H24" s="143" t="n">
        <x:v>46209</x:v>
      </x:c>
      <x:c r="I24" s="141" t="s">
        <x:v>26</x:v>
      </x:c>
      <x:c r="J24" s="146" t="s">
        <x:v>12</x:v>
      </x:c>
      <x:c r="K24" s="142" t="str"/>
      <x:c r="L24" s="142" t="str"/>
      <x:c r="M24" s="147" t="str">
        <x:v>ja</x:v>
      </x:c>
      <x:c r="N24" s="147" t="str">
        <x:v>ja</x:v>
      </x:c>
      <x:c r="O24" s="147" t="str">
        <x:v>ja</x:v>
      </x:c>
      <x:c r="P24" s="147" t="str">
        <x:v>ja</x:v>
      </x:c>
      <x:c r="Q24" s="147" t="str">
        <x:v>ja</x:v>
      </x:c>
      <x:c r="R24" s="142" t="str">
        <x:v>fallbezogen prüfen</x:v>
      </x:c>
      <x:c r="S24" s="142" t="str">
        <x:v>fallbezogen prüfen</x:v>
      </x:c>
      <x:c r="T24" s="142" t="str">
        <x:v>Phasengrenze</x:v>
      </x:c>
    </x:row>
    <x:row r="25" ht="40" customHeight="1">
      <x:c r="A25" s="141" t="s">
        <x:v>43</x:v>
      </x:c>
      <x:c r="B25" s="142"/>
      <x:c r="C25" s="142"/>
      <x:c r="D25" s="141" t="s">
        <x:v>45</x:v>
      </x:c>
      <x:c r="E25" s="143" t="n">
        <x:v>45810</x:v>
      </x:c>
      <x:c r="F25" s="144" t="n">
        <x:v>46017</x:v>
      </x:c>
      <x:c r="G25" s="145" t="n">
        <x:v>46045</x:v>
      </x:c>
      <x:c r="H25" s="143" t="n">
        <x:v>46209</x:v>
      </x:c>
      <x:c r="I25" s="141" t="s">
        <x:v>46</x:v>
      </x:c>
      <x:c r="J25" s="146" t="s">
        <x:v>9</x:v>
      </x:c>
      <x:c r="K25" s="142" t="str"/>
      <x:c r="L25" s="142" t="str"/>
      <x:c r="M25" s="147" t="str">
        <x:v>ja</x:v>
      </x:c>
      <x:c r="N25" s="147" t="str">
        <x:v>ja</x:v>
      </x:c>
      <x:c r="O25" s="147" t="str">
        <x:v>ja</x:v>
      </x:c>
      <x:c r="P25" s="147" t="str">
        <x:v>ja</x:v>
      </x:c>
      <x:c r="Q25" s="147" t="str">
        <x:v>ja</x:v>
      </x:c>
      <x:c r="R25" s="142" t="str">
        <x:v>fallbezogen prüfen</x:v>
      </x:c>
      <x:c r="S25" s="142" t="str">
        <x:v>fallbezogen prüfen</x:v>
      </x:c>
      <x:c r="T25" s="142" t="str">
        <x:v>Phasengrenze</x:v>
      </x:c>
    </x:row>
    <x:row r="26" ht="40" customHeight="1">
      <x:c r="A26" s="141" t="s">
        <x:v>43</x:v>
      </x:c>
      <x:c r="B26" s="142"/>
      <x:c r="C26" s="142"/>
      <x:c r="D26" s="141" t="s">
        <x:v>47</x:v>
      </x:c>
      <x:c r="E26" s="143" t="n">
        <x:v>45818</x:v>
      </x:c>
      <x:c r="F26" s="144" t="n">
        <x:v>46017</x:v>
      </x:c>
      <x:c r="G26" s="145" t="n">
        <x:v>46073</x:v>
      </x:c>
      <x:c r="H26" s="143" t="n">
        <x:v>46209</x:v>
      </x:c>
      <x:c r="I26" s="141" t="s">
        <x:v>8</x:v>
      </x:c>
      <x:c r="J26" s="146" t="s">
        <x:v>9</x:v>
      </x:c>
      <x:c r="K26" s="142" t="str"/>
      <x:c r="L26" s="142" t="str"/>
      <x:c r="M26" s="147" t="str">
        <x:v>ja</x:v>
      </x:c>
      <x:c r="N26" s="147" t="str">
        <x:v>ja</x:v>
      </x:c>
      <x:c r="O26" s="147" t="str">
        <x:v>ja</x:v>
      </x:c>
      <x:c r="P26" s="147" t="str">
        <x:v>ja</x:v>
      </x:c>
      <x:c r="Q26" s="147" t="str">
        <x:v>ja</x:v>
      </x:c>
      <x:c r="R26" s="142" t="str">
        <x:v>fallbezogen prüfen</x:v>
      </x:c>
      <x:c r="S26" s="142" t="str">
        <x:v>fallbezogen prüfen</x:v>
      </x:c>
      <x:c r="T26" s="142" t="str">
        <x:v>Phasengrenze</x:v>
      </x:c>
    </x:row>
    <x:row r="27" ht="40" customHeight="1">
      <x:c r="A27" s="141" t="s">
        <x:v>43</x:v>
      </x:c>
      <x:c r="B27" s="142"/>
      <x:c r="C27" s="142"/>
      <x:c r="D27" s="141" t="s">
        <x:v>48</x:v>
      </x:c>
      <x:c r="E27" s="143" t="n">
        <x:v>45796</x:v>
      </x:c>
      <x:c r="F27" s="144" t="n">
        <x:v>46017</x:v>
      </x:c>
      <x:c r="G27" s="145" t="n">
        <x:v>46101</x:v>
      </x:c>
      <x:c r="H27" s="143" t="n">
        <x:v>46209</x:v>
      </x:c>
      <x:c r="I27" s="141" t="s">
        <x:v>49</x:v>
      </x:c>
      <x:c r="J27" s="146" t="s">
        <x:v>12</x:v>
      </x:c>
      <x:c r="K27" s="142" t="str"/>
      <x:c r="L27" s="142" t="str"/>
      <x:c r="M27" s="147" t="str">
        <x:v>ja</x:v>
      </x:c>
      <x:c r="N27" s="147" t="str">
        <x:v>ja</x:v>
      </x:c>
      <x:c r="O27" s="147" t="str">
        <x:v>ja</x:v>
      </x:c>
      <x:c r="P27" s="147" t="str">
        <x:v>ja</x:v>
      </x:c>
      <x:c r="Q27" s="147" t="str">
        <x:v>ja</x:v>
      </x:c>
      <x:c r="R27" s="142" t="str">
        <x:v>fallbezogen prüfen</x:v>
      </x:c>
      <x:c r="S27" s="142" t="str">
        <x:v>fallbezogen prüfen</x:v>
      </x:c>
      <x:c r="T27" s="142" t="str">
        <x:v>Phasengrenze</x:v>
      </x:c>
    </x:row>
    <x:row r="28" ht="40" customHeight="1">
      <x:c r="A28" s="141" t="s">
        <x:v>43</x:v>
      </x:c>
      <x:c r="B28" s="142"/>
      <x:c r="C28" s="142"/>
      <x:c r="D28" s="141" t="s">
        <x:v>50</x:v>
      </x:c>
      <x:c r="E28" s="143" t="n">
        <x:v>45810</x:v>
      </x:c>
      <x:c r="F28" s="144" t="n">
        <x:v>46017</x:v>
      </x:c>
      <x:c r="G28" s="145" t="n">
        <x:v>46129</x:v>
      </x:c>
      <x:c r="H28" s="143" t="n">
        <x:v>46209</x:v>
      </x:c>
      <x:c r="I28" s="141" t="s">
        <x:v>51</x:v>
      </x:c>
      <x:c r="J28" s="146" t="s">
        <x:v>9</x:v>
      </x:c>
      <x:c r="K28" s="142" t="str"/>
      <x:c r="L28" s="142" t="str"/>
      <x:c r="M28" s="147" t="str">
        <x:v>ja</x:v>
      </x:c>
      <x:c r="N28" s="147" t="str">
        <x:v>ja</x:v>
      </x:c>
      <x:c r="O28" s="147" t="str">
        <x:v>ja</x:v>
      </x:c>
      <x:c r="P28" s="147" t="str">
        <x:v>ja</x:v>
      </x:c>
      <x:c r="Q28" s="147" t="str">
        <x:v>ja</x:v>
      </x:c>
      <x:c r="R28" s="142" t="str">
        <x:v>fallbezogen prüfen</x:v>
      </x:c>
      <x:c r="S28" s="142" t="str">
        <x:v>fallbezogen prüfen</x:v>
      </x:c>
      <x:c r="T28" s="142" t="str">
        <x:v>Phasengrenze</x:v>
      </x:c>
    </x:row>
    <x:row r="29" s="11" customFormat="1" ht="40" customHeight="1">
      <x:c r="A29" s="148" t="s">
        <x:v>43</x:v>
      </x:c>
      <x:c r="B29" s="149"/>
      <x:c r="C29" s="149"/>
      <x:c r="D29" s="148" t="s">
        <x:v>52</x:v>
      </x:c>
      <x:c r="E29" s="150" t="n">
        <x:v>45838</x:v>
      </x:c>
      <x:c r="F29" s="151" t="n">
        <x:v>46017</x:v>
      </x:c>
      <x:c r="G29" s="159" t="n">
        <x:v>46157</x:v>
      </x:c>
      <x:c r="H29" s="150" t="n">
        <x:v>46209</x:v>
      </x:c>
      <x:c r="I29" s="148" t="s">
        <x:v>11</x:v>
      </x:c>
      <x:c r="J29" s="152" t="s">
        <x:v>12</x:v>
      </x:c>
      <x:c r="K29" s="149" t="str"/>
      <x:c r="L29" s="149" t="str"/>
      <x:c r="M29" s="153" t="str">
        <x:v>ja</x:v>
      </x:c>
      <x:c r="N29" s="153" t="str">
        <x:v>ja</x:v>
      </x:c>
      <x:c r="O29" s="153" t="str">
        <x:v>ja</x:v>
      </x:c>
      <x:c r="P29" s="153" t="str">
        <x:v>ja</x:v>
      </x:c>
      <x:c r="Q29" s="153" t="str">
        <x:v>ja</x:v>
      </x:c>
      <x:c r="R29" s="149" t="str">
        <x:v>fallbezogen prüfen</x:v>
      </x:c>
      <x:c r="S29" s="149" t="str">
        <x:v>fallbezogen prüfen</x:v>
      </x:c>
      <x:c r="T29" s="149" t="str">
        <x:v>Phasengrenze</x:v>
      </x:c>
    </x:row>
    <x:row r="30" ht="40" customHeight="1">
      <x:c r="A30" s="141" t="s">
        <x:v>53</x:v>
      </x:c>
      <x:c r="B30" s="142"/>
      <x:c r="C30" s="142"/>
      <x:c r="D30" s="141" t="s">
        <x:v>54</x:v>
      </x:c>
      <x:c r="E30" s="143" t="n">
        <x:v>45922</x:v>
      </x:c>
      <x:c r="F30" s="144" t="n">
        <x:v>46052</x:v>
      </x:c>
      <x:c r="G30" s="145" t="n">
        <x:v>46080</x:v>
      </x:c>
      <x:c r="H30" s="143" t="n">
        <x:v>46265</x:v>
      </x:c>
      <x:c r="I30" s="141" t="s">
        <x:v>11</x:v>
      </x:c>
      <x:c r="J30" s="146" t="s">
        <x:v>12</x:v>
      </x:c>
      <x:c r="K30" s="142" t="str"/>
      <x:c r="L30" s="142" t="str"/>
      <x:c r="M30" s="147" t="str">
        <x:v>ja</x:v>
      </x:c>
      <x:c r="N30" s="147" t="str">
        <x:v>ja</x:v>
      </x:c>
      <x:c r="O30" s="147" t="str">
        <x:v>ja</x:v>
      </x:c>
      <x:c r="P30" s="147" t="str">
        <x:v>ja</x:v>
      </x:c>
      <x:c r="Q30" s="147" t="str">
        <x:v>ja</x:v>
      </x:c>
      <x:c r="R30" s="142" t="str">
        <x:v>fallbezogen prüfen</x:v>
      </x:c>
      <x:c r="S30" s="142" t="str">
        <x:v>fallbezogen prüfen</x:v>
      </x:c>
      <x:c r="T30" s="142" t="str">
        <x:v>Phasengrenze</x:v>
      </x:c>
    </x:row>
    <x:row r="31" ht="40" customHeight="1">
      <x:c r="A31" s="141" t="s">
        <x:v>53</x:v>
      </x:c>
      <x:c r="B31" s="142"/>
      <x:c r="C31" s="142"/>
      <x:c r="D31" s="141" t="s">
        <x:v>55</x:v>
      </x:c>
      <x:c r="E31" s="143" t="n">
        <x:v>45922</x:v>
      </x:c>
      <x:c r="F31" s="144" t="n">
        <x:v>46052</x:v>
      </x:c>
      <x:c r="G31" s="145" t="n">
        <x:v>46108</x:v>
      </x:c>
      <x:c r="H31" s="143" t="n">
        <x:v>46265</x:v>
      </x:c>
      <x:c r="I31" s="141" t="s">
        <x:v>29</x:v>
      </x:c>
      <x:c r="J31" s="146" t="s">
        <x:v>9</x:v>
      </x:c>
      <x:c r="K31" s="142" t="str"/>
      <x:c r="L31" s="142" t="str"/>
      <x:c r="M31" s="147" t="str">
        <x:v>ja</x:v>
      </x:c>
      <x:c r="N31" s="147" t="str">
        <x:v>ja</x:v>
      </x:c>
      <x:c r="O31" s="147" t="str">
        <x:v>ja</x:v>
      </x:c>
      <x:c r="P31" s="147" t="str">
        <x:v>ja</x:v>
      </x:c>
      <x:c r="Q31" s="147" t="str">
        <x:v>ja</x:v>
      </x:c>
      <x:c r="R31" s="142" t="str">
        <x:v>fallbezogen prüfen</x:v>
      </x:c>
      <x:c r="S31" s="142" t="str">
        <x:v>fallbezogen prüfen</x:v>
      </x:c>
      <x:c r="T31" s="142" t="str">
        <x:v>Phasengrenze</x:v>
      </x:c>
    </x:row>
    <x:row r="32" ht="40" customHeight="1">
      <x:c r="A32" s="141" t="s">
        <x:v>53</x:v>
      </x:c>
      <x:c r="B32" s="142"/>
      <x:c r="C32" s="142"/>
      <x:c r="D32" s="141" t="s">
        <x:v>56</x:v>
      </x:c>
      <x:c r="E32" s="143" t="n">
        <x:v>45922</x:v>
      </x:c>
      <x:c r="F32" s="144" t="n">
        <x:v>46052</x:v>
      </x:c>
      <x:c r="G32" s="145" t="n">
        <x:v>46136</x:v>
      </x:c>
      <x:c r="H32" s="143" t="n">
        <x:v>46265</x:v>
      </x:c>
      <x:c r="I32" s="141" t="s">
        <x:v>57</x:v>
      </x:c>
      <x:c r="J32" s="146" t="s">
        <x:v>12</x:v>
      </x:c>
      <x:c r="K32" s="142" t="str"/>
      <x:c r="L32" s="142" t="str"/>
      <x:c r="M32" s="147" t="str">
        <x:v>ja</x:v>
      </x:c>
      <x:c r="N32" s="147" t="str">
        <x:v>ja</x:v>
      </x:c>
      <x:c r="O32" s="147" t="str">
        <x:v>ja</x:v>
      </x:c>
      <x:c r="P32" s="147" t="str">
        <x:v>ja</x:v>
      </x:c>
      <x:c r="Q32" s="147" t="str">
        <x:v>ja</x:v>
      </x:c>
      <x:c r="R32" s="142" t="str">
        <x:v>fallbezogen prüfen</x:v>
      </x:c>
      <x:c r="S32" s="142" t="str">
        <x:v>fallbezogen prüfen</x:v>
      </x:c>
      <x:c r="T32" s="142" t="str">
        <x:v>Phasengrenze</x:v>
      </x:c>
    </x:row>
    <x:row r="33" s="11" customFormat="1" ht="92" customHeight="1">
      <x:c r="A33" s="148" t="s">
        <x:v>53</x:v>
      </x:c>
      <x:c r="B33" s="149"/>
      <x:c r="C33" s="149"/>
      <x:c r="D33" s="148" t="s">
        <x:v>58</x:v>
      </x:c>
      <x:c r="E33" s="150" t="n">
        <x:v>46134</x:v>
      </x:c>
      <x:c r="F33" s="151" t="n">
        <x:v>46052</x:v>
      </x:c>
      <x:c r="G33" s="158" t="n">
        <x:v>46192</x:v>
      </x:c>
      <x:c r="H33" s="150" t="n">
        <x:v>46265</x:v>
      </x:c>
      <x:c r="I33" s="152" t="s">
        <x:v>24</x:v>
      </x:c>
      <x:c r="J33" s="152" t="s">
        <x:v>12</x:v>
      </x:c>
      <x:c r="K33" s="149" t="str">
        <x:v>Tatsächlicher Stationsstart 22.04.2026. Keine beobachtete BS; CRS-A beginnt mit der Stationsaktivierung.</x:v>
      </x:c>
      <x:c r="L33" s="149" t="str">
        <x:v>Standortzeitachse CRS ab 30.01.2026 bleibt erhalten; vor dem Stationsstart keine beobachtete Stationszeit.</x:v>
      </x:c>
      <x:c r="M33" s="153" t="str">
        <x:v>ja</x:v>
      </x:c>
      <x:c r="N33" s="153" t="str">
        <x:v>ja</x:v>
      </x:c>
      <x:c r="O33" s="153" t="str">
        <x:v>ja</x:v>
      </x:c>
      <x:c r="P33" s="153" t="str">
        <x:v>ja</x:v>
      </x:c>
      <x:c r="Q33" s="153" t="str">
        <x:v>ja</x:v>
      </x:c>
      <x:c r="R33" s="149" t="str">
        <x:v>fallbezogen prüfen</x:v>
      </x:c>
      <x:c r="S33" s="149" t="str">
        <x:v>fallbezogen prüfen</x:v>
      </x:c>
      <x:c r="T33" s="149" t="str">
        <x:v>Phasengrenze</x:v>
      </x:c>
    </x:row>
    <x:row r="34" s="24" customFormat="1" ht="40" customHeight="1">
      <x:c r="A34" s="160" t="s">
        <x:v>59</x:v>
      </x:c>
      <x:c r="B34" s="161"/>
      <x:c r="C34" s="161"/>
      <x:c r="D34" s="160" t="s">
        <x:v>60</x:v>
      </x:c>
      <x:c r="E34" s="162" t="n">
        <x:v>45860</x:v>
      </x:c>
      <x:c r="F34" s="144" t="n">
        <x:v>46045</x:v>
      </x:c>
      <x:c r="G34" s="163" t="n">
        <x:v>46073</x:v>
      </x:c>
      <x:c r="H34" s="162" t="n">
        <x:v>46265</x:v>
      </x:c>
      <x:c r="I34" s="160" t="s">
        <x:v>57</x:v>
      </x:c>
      <x:c r="J34" s="164" t="s">
        <x:v>12</x:v>
      </x:c>
      <x:c r="K34" s="161" t="str"/>
      <x:c r="L34" s="161" t="str"/>
      <x:c r="M34" s="165" t="str">
        <x:v>ja</x:v>
      </x:c>
      <x:c r="N34" s="165" t="str">
        <x:v>ja</x:v>
      </x:c>
      <x:c r="O34" s="165" t="str">
        <x:v>ja</x:v>
      </x:c>
      <x:c r="P34" s="165" t="str">
        <x:v>ja</x:v>
      </x:c>
      <x:c r="Q34" s="165" t="str">
        <x:v>ja</x:v>
      </x:c>
      <x:c r="R34" s="161" t="str">
        <x:v>fallbezogen prüfen</x:v>
      </x:c>
      <x:c r="S34" s="161" t="str">
        <x:v>fallbezogen prüfen</x:v>
      </x:c>
      <x:c r="T34" s="161" t="str">
        <x:v>Phasengrenze</x:v>
      </x:c>
    </x:row>
    <x:row r="35" ht="40" customHeight="1">
      <x:c r="A35" s="141" t="s">
        <x:v>59</x:v>
      </x:c>
      <x:c r="B35" s="142"/>
      <x:c r="C35" s="142"/>
      <x:c r="D35" s="141" t="s">
        <x:v>61</x:v>
      </x:c>
      <x:c r="E35" s="166" t="n">
        <x:v>45859</x:v>
      </x:c>
      <x:c r="F35" s="144" t="n">
        <x:v>46045</x:v>
      </x:c>
      <x:c r="G35" s="145" t="n">
        <x:v>46101</x:v>
      </x:c>
      <x:c r="H35" s="166" t="n">
        <x:v>46265</x:v>
      </x:c>
      <x:c r="I35" s="141" t="s">
        <x:v>57</x:v>
      </x:c>
      <x:c r="J35" s="167" t="s">
        <x:v>12</x:v>
      </x:c>
      <x:c r="K35" s="142" t="str"/>
      <x:c r="L35" s="142" t="str"/>
      <x:c r="M35" s="147" t="str">
        <x:v>ja</x:v>
      </x:c>
      <x:c r="N35" s="147" t="str">
        <x:v>ja</x:v>
      </x:c>
      <x:c r="O35" s="147" t="str">
        <x:v>ja</x:v>
      </x:c>
      <x:c r="P35" s="147" t="str">
        <x:v>ja</x:v>
      </x:c>
      <x:c r="Q35" s="147" t="str">
        <x:v>ja</x:v>
      </x:c>
      <x:c r="R35" s="142" t="str">
        <x:v>fallbezogen prüfen</x:v>
      </x:c>
      <x:c r="S35" s="142" t="str">
        <x:v>fallbezogen prüfen</x:v>
      </x:c>
      <x:c r="T35" s="142" t="str">
        <x:v>Phasengrenze</x:v>
      </x:c>
    </x:row>
    <x:row r="36" s="11" customFormat="1" ht="40" customHeight="1">
      <x:c r="A36" s="148" t="s">
        <x:v>59</x:v>
      </x:c>
      <x:c r="B36" s="149"/>
      <x:c r="C36" s="149"/>
      <x:c r="D36" s="148" t="s">
        <x:v>62</x:v>
      </x:c>
      <x:c r="E36" s="168" t="n">
        <x:v>45848</x:v>
      </x:c>
      <x:c r="F36" s="151" t="n">
        <x:v>46045</x:v>
      </x:c>
      <x:c r="G36" s="159" t="n">
        <x:v>46129</x:v>
      </x:c>
      <x:c r="H36" s="168" t="n">
        <x:v>46265</x:v>
      </x:c>
      <x:c r="I36" s="148" t="s">
        <x:v>42</x:v>
      </x:c>
      <x:c r="J36" s="169" t="s">
        <x:v>9</x:v>
      </x:c>
      <x:c r="K36" s="149" t="str"/>
      <x:c r="L36" s="149" t="str"/>
      <x:c r="M36" s="153" t="str">
        <x:v>ja</x:v>
      </x:c>
      <x:c r="N36" s="153" t="str">
        <x:v>ja</x:v>
      </x:c>
      <x:c r="O36" s="153" t="str">
        <x:v>ja</x:v>
      </x:c>
      <x:c r="P36" s="153" t="str">
        <x:v>ja</x:v>
      </x:c>
      <x:c r="Q36" s="153" t="str">
        <x:v>ja</x:v>
      </x:c>
      <x:c r="R36" s="149" t="str">
        <x:v>fallbezogen prüfen</x:v>
      </x:c>
      <x:c r="S36" s="149" t="str">
        <x:v>fallbezogen prüfen</x:v>
      </x:c>
      <x:c r="T36" s="149" t="str">
        <x:v>Phasengrenze</x:v>
      </x:c>
    </x:row>
    <x:row r="37" ht="40" customHeight="1">
      <x:c r="A37" s="141" t="s">
        <x:v>63</x:v>
      </x:c>
      <x:c r="B37" s="142"/>
      <x:c r="C37" s="142"/>
      <x:c r="D37" s="141" t="s">
        <x:v>64</x:v>
      </x:c>
      <x:c r="E37" s="162" t="n">
        <x:v>45778</x:v>
      </x:c>
      <x:c r="F37" s="144" t="n">
        <x:v>46017</x:v>
      </x:c>
      <x:c r="G37" s="163" t="n">
        <x:v>46045</x:v>
      </x:c>
      <x:c r="H37" s="162" t="n">
        <x:v>46265</x:v>
      </x:c>
      <x:c r="I37" s="141" t="s">
        <x:v>65</x:v>
      </x:c>
      <x:c r="J37" s="167" t="s">
        <x:v>12</x:v>
      </x:c>
      <x:c r="K37" s="142" t="str"/>
      <x:c r="L37" s="142" t="str"/>
      <x:c r="M37" s="147" t="str">
        <x:v>ja</x:v>
      </x:c>
      <x:c r="N37" s="147" t="str">
        <x:v>ja</x:v>
      </x:c>
      <x:c r="O37" s="147" t="str">
        <x:v>ja</x:v>
      </x:c>
      <x:c r="P37" s="147" t="str">
        <x:v>ja</x:v>
      </x:c>
      <x:c r="Q37" s="147" t="str">
        <x:v>ja</x:v>
      </x:c>
      <x:c r="R37" s="142" t="str">
        <x:v>fallbezogen prüfen</x:v>
      </x:c>
      <x:c r="S37" s="142" t="str">
        <x:v>fallbezogen prüfen</x:v>
      </x:c>
      <x:c r="T37" s="142" t="str">
        <x:v>Phasengrenze</x:v>
      </x:c>
    </x:row>
    <x:row r="38" ht="40" customHeight="1">
      <x:c r="A38" s="141" t="s">
        <x:v>63</x:v>
      </x:c>
      <x:c r="B38" s="142"/>
      <x:c r="C38" s="142"/>
      <x:c r="D38" s="141" t="s">
        <x:v>66</x:v>
      </x:c>
      <x:c r="E38" s="166" t="n">
        <x:v>45778</x:v>
      </x:c>
      <x:c r="F38" s="144" t="n">
        <x:v>46017</x:v>
      </x:c>
      <x:c r="G38" s="145" t="n">
        <x:v>46045</x:v>
      </x:c>
      <x:c r="H38" s="166" t="n">
        <x:v>46265</x:v>
      </x:c>
      <x:c r="I38" s="141" t="s">
        <x:v>67</x:v>
      </x:c>
      <x:c r="J38" s="167" t="s">
        <x:v>9</x:v>
      </x:c>
      <x:c r="K38" s="142" t="str"/>
      <x:c r="L38" s="142" t="str"/>
      <x:c r="M38" s="147" t="str">
        <x:v>ja</x:v>
      </x:c>
      <x:c r="N38" s="147" t="str">
        <x:v>ja</x:v>
      </x:c>
      <x:c r="O38" s="147" t="str">
        <x:v>ja</x:v>
      </x:c>
      <x:c r="P38" s="147" t="str">
        <x:v>ja</x:v>
      </x:c>
      <x:c r="Q38" s="147" t="str">
        <x:v>ja</x:v>
      </x:c>
      <x:c r="R38" s="142" t="str">
        <x:v>fallbezogen prüfen</x:v>
      </x:c>
      <x:c r="S38" s="142" t="str">
        <x:v>fallbezogen prüfen</x:v>
      </x:c>
      <x:c r="T38" s="142" t="str">
        <x:v>Phasengrenze</x:v>
      </x:c>
    </x:row>
    <x:row r="39" ht="40" customHeight="1">
      <x:c r="A39" s="141" t="s">
        <x:v>63</x:v>
      </x:c>
      <x:c r="B39" s="142"/>
      <x:c r="C39" s="142"/>
      <x:c r="D39" s="141" t="s">
        <x:v>68</x:v>
      </x:c>
      <x:c r="E39" s="166" t="n">
        <x:v>45778</x:v>
      </x:c>
      <x:c r="F39" s="144" t="n">
        <x:v>46017</x:v>
      </x:c>
      <x:c r="G39" s="145" t="n">
        <x:v>46073</x:v>
      </x:c>
      <x:c r="H39" s="166" t="n">
        <x:v>46265</x:v>
      </x:c>
      <x:c r="I39" s="141" t="s">
        <x:v>39</x:v>
      </x:c>
      <x:c r="J39" s="167" t="s">
        <x:v>12</x:v>
      </x:c>
      <x:c r="K39" s="142" t="str"/>
      <x:c r="L39" s="142" t="str"/>
      <x:c r="M39" s="147" t="str">
        <x:v>ja</x:v>
      </x:c>
      <x:c r="N39" s="147" t="str">
        <x:v>ja</x:v>
      </x:c>
      <x:c r="O39" s="147" t="str">
        <x:v>ja</x:v>
      </x:c>
      <x:c r="P39" s="147" t="str">
        <x:v>ja</x:v>
      </x:c>
      <x:c r="Q39" s="147" t="str">
        <x:v>ja</x:v>
      </x:c>
      <x:c r="R39" s="142" t="str">
        <x:v>fallbezogen prüfen</x:v>
      </x:c>
      <x:c r="S39" s="142" t="str">
        <x:v>fallbezogen prüfen</x:v>
      </x:c>
      <x:c r="T39" s="142" t="str">
        <x:v>Phasengrenze</x:v>
      </x:c>
    </x:row>
    <x:row r="40" ht="40" customHeight="1">
      <x:c r="A40" s="141" t="s">
        <x:v>63</x:v>
      </x:c>
      <x:c r="B40" s="142"/>
      <x:c r="C40" s="142"/>
      <x:c r="D40" s="141" t="s">
        <x:v>69</x:v>
      </x:c>
      <x:c r="E40" s="166" t="n">
        <x:v>45778</x:v>
      </x:c>
      <x:c r="F40" s="144" t="n">
        <x:v>46017</x:v>
      </x:c>
      <x:c r="G40" s="145" t="n">
        <x:v>46073</x:v>
      </x:c>
      <x:c r="H40" s="166" t="n">
        <x:v>46265</x:v>
      </x:c>
      <x:c r="I40" s="141" t="s">
        <x:v>8</x:v>
      </x:c>
      <x:c r="J40" s="167" t="s">
        <x:v>9</x:v>
      </x:c>
      <x:c r="K40" s="142" t="str"/>
      <x:c r="L40" s="142" t="str"/>
      <x:c r="M40" s="147" t="str">
        <x:v>ja</x:v>
      </x:c>
      <x:c r="N40" s="147" t="str">
        <x:v>ja</x:v>
      </x:c>
      <x:c r="O40" s="147" t="str">
        <x:v>ja</x:v>
      </x:c>
      <x:c r="P40" s="147" t="str">
        <x:v>ja</x:v>
      </x:c>
      <x:c r="Q40" s="147" t="str">
        <x:v>ja</x:v>
      </x:c>
      <x:c r="R40" s="142" t="str">
        <x:v>fallbezogen prüfen</x:v>
      </x:c>
      <x:c r="S40" s="142" t="str">
        <x:v>fallbezogen prüfen</x:v>
      </x:c>
      <x:c r="T40" s="142" t="str">
        <x:v>Phasengrenze</x:v>
      </x:c>
    </x:row>
    <x:row r="41" ht="40" customHeight="1">
      <x:c r="A41" s="141" t="s">
        <x:v>63</x:v>
      </x:c>
      <x:c r="B41" s="142"/>
      <x:c r="C41" s="142"/>
      <x:c r="D41" s="141" t="s">
        <x:v>70</x:v>
      </x:c>
      <x:c r="E41" s="166" t="n">
        <x:v>45778</x:v>
      </x:c>
      <x:c r="F41" s="144" t="n">
        <x:v>46017</x:v>
      </x:c>
      <x:c r="G41" s="145" t="n">
        <x:v>46101</x:v>
      </x:c>
      <x:c r="H41" s="166" t="n">
        <x:v>46265</x:v>
      </x:c>
      <x:c r="I41" s="141" t="s">
        <x:v>67</x:v>
      </x:c>
      <x:c r="J41" s="167" t="s">
        <x:v>9</x:v>
      </x:c>
      <x:c r="K41" s="142" t="str"/>
      <x:c r="L41" s="142" t="str"/>
      <x:c r="M41" s="147" t="str">
        <x:v>ja</x:v>
      </x:c>
      <x:c r="N41" s="147" t="str">
        <x:v>ja</x:v>
      </x:c>
      <x:c r="O41" s="147" t="str">
        <x:v>ja</x:v>
      </x:c>
      <x:c r="P41" s="147" t="str">
        <x:v>ja</x:v>
      </x:c>
      <x:c r="Q41" s="147" t="str">
        <x:v>ja</x:v>
      </x:c>
      <x:c r="R41" s="142" t="str">
        <x:v>fallbezogen prüfen</x:v>
      </x:c>
      <x:c r="S41" s="142" t="str">
        <x:v>fallbezogen prüfen</x:v>
      </x:c>
      <x:c r="T41" s="142" t="str">
        <x:v>Phasengrenze</x:v>
      </x:c>
    </x:row>
    <x:row r="42" ht="40" customHeight="1">
      <x:c r="A42" s="141" t="s">
        <x:v>63</x:v>
      </x:c>
      <x:c r="B42" s="142"/>
      <x:c r="C42" s="142"/>
      <x:c r="D42" s="141" t="s">
        <x:v>71</x:v>
      </x:c>
      <x:c r="E42" s="166" t="n">
        <x:v>45809</x:v>
      </x:c>
      <x:c r="F42" s="144" t="n">
        <x:v>46017</x:v>
      </x:c>
      <x:c r="G42" s="145" t="n">
        <x:v>46129</x:v>
      </x:c>
      <x:c r="H42" s="166" t="n">
        <x:v>46265</x:v>
      </x:c>
      <x:c r="I42" s="141" t="s">
        <x:v>72</x:v>
      </x:c>
      <x:c r="J42" s="167" t="s">
        <x:v>12</x:v>
      </x:c>
      <x:c r="K42" s="142" t="str"/>
      <x:c r="L42" s="142" t="str"/>
      <x:c r="M42" s="147" t="str">
        <x:v>ja</x:v>
      </x:c>
      <x:c r="N42" s="147" t="str">
        <x:v>ja</x:v>
      </x:c>
      <x:c r="O42" s="147" t="str">
        <x:v>ja</x:v>
      </x:c>
      <x:c r="P42" s="147" t="str">
        <x:v>ja</x:v>
      </x:c>
      <x:c r="Q42" s="147" t="str">
        <x:v>ja</x:v>
      </x:c>
      <x:c r="R42" s="142" t="str">
        <x:v>fallbezogen prüfen</x:v>
      </x:c>
      <x:c r="S42" s="142" t="str">
        <x:v>fallbezogen prüfen</x:v>
      </x:c>
      <x:c r="T42" s="142" t="str">
        <x:v>Phasengrenze</x:v>
      </x:c>
    </x:row>
    <x:row r="43" s="11" customFormat="1" ht="40" customHeight="1">
      <x:c r="A43" s="148" t="s">
        <x:v>63</x:v>
      </x:c>
      <x:c r="B43" s="149"/>
      <x:c r="C43" s="149"/>
      <x:c r="D43" s="148" t="s">
        <x:v>73</x:v>
      </x:c>
      <x:c r="E43" s="166" t="n">
        <x:v>45778</x:v>
      </x:c>
      <x:c r="F43" s="151" t="n">
        <x:v>46017</x:v>
      </x:c>
      <x:c r="G43" s="159" t="n">
        <x:v>46157</x:v>
      </x:c>
      <x:c r="H43" s="168" t="n">
        <x:v>46265</x:v>
      </x:c>
      <x:c r="I43" s="148" t="s">
        <x:v>18</x:v>
      </x:c>
      <x:c r="J43" s="169" t="s">
        <x:v>9</x:v>
      </x:c>
      <x:c r="K43" s="149" t="str"/>
      <x:c r="L43" s="149" t="str"/>
      <x:c r="M43" s="153" t="str">
        <x:v>ja</x:v>
      </x:c>
      <x:c r="N43" s="153" t="str">
        <x:v>ja</x:v>
      </x:c>
      <x:c r="O43" s="153" t="str">
        <x:v>ja</x:v>
      </x:c>
      <x:c r="P43" s="153" t="str">
        <x:v>ja</x:v>
      </x:c>
      <x:c r="Q43" s="153" t="str">
        <x:v>ja</x:v>
      </x:c>
      <x:c r="R43" s="149" t="str">
        <x:v>fallbezogen prüfen</x:v>
      </x:c>
      <x:c r="S43" s="149" t="str">
        <x:v>fallbezogen prüfen</x:v>
      </x:c>
      <x:c r="T43" s="149" t="str">
        <x:v>Phasengrenze</x:v>
      </x:c>
    </x:row>
    <x:row r="44" ht="40" customHeight="1">
      <x:c r="A44" s="141" t="s">
        <x:v>74</x:v>
      </x:c>
      <x:c r="B44" s="142"/>
      <x:c r="C44" s="142"/>
      <x:c r="D44" s="141" t="s">
        <x:v>75</x:v>
      </x:c>
      <x:c r="E44" s="170" t="n">
        <x:v>45823</x:v>
      </x:c>
      <x:c r="F44" s="144" t="n">
        <x:v>46017</x:v>
      </x:c>
      <x:c r="G44" s="163" t="n">
        <x:v>46045</x:v>
      </x:c>
      <x:c r="H44" s="145" t="n">
        <x:v>46265</x:v>
      </x:c>
      <x:c r="I44" s="141" t="s">
        <x:v>14</x:v>
      </x:c>
      <x:c r="J44" s="141" t="s">
        <x:v>12</x:v>
      </x:c>
      <x:c r="K44" s="142" t="str"/>
      <x:c r="L44" s="142" t="str"/>
      <x:c r="M44" s="147" t="str">
        <x:v>ja</x:v>
      </x:c>
      <x:c r="N44" s="147" t="str">
        <x:v>ja</x:v>
      </x:c>
      <x:c r="O44" s="147" t="str">
        <x:v>ja</x:v>
      </x:c>
      <x:c r="P44" s="147" t="str">
        <x:v>ja</x:v>
      </x:c>
      <x:c r="Q44" s="147" t="str">
        <x:v>ja</x:v>
      </x:c>
      <x:c r="R44" s="142" t="str">
        <x:v>fallbezogen prüfen</x:v>
      </x:c>
      <x:c r="S44" s="142" t="str">
        <x:v>fallbezogen prüfen</x:v>
      </x:c>
      <x:c r="T44" s="142" t="str">
        <x:v>Phasengrenze</x:v>
      </x:c>
    </x:row>
    <x:row r="45" s="11" customFormat="1" ht="40" customHeight="1">
      <x:c r="A45" s="148" t="s">
        <x:v>74</x:v>
      </x:c>
      <x:c r="B45" s="149"/>
      <x:c r="C45" s="157"/>
      <x:c r="D45" s="148" t="s">
        <x:v>76</x:v>
      </x:c>
      <x:c r="E45" s="168" t="n">
        <x:v>45838</x:v>
      </x:c>
      <x:c r="F45" s="151" t="n">
        <x:v>46017</x:v>
      </x:c>
      <x:c r="G45" s="159" t="n">
        <x:v>46073</x:v>
      </x:c>
      <x:c r="H45" s="168" t="n">
        <x:v>46265</x:v>
      </x:c>
      <x:c r="I45" s="148" t="s">
        <x:v>67</x:v>
      </x:c>
      <x:c r="J45" s="171" t="s">
        <x:v>9</x:v>
      </x:c>
      <x:c r="K45" s="149" t="str"/>
      <x:c r="L45" s="149" t="str"/>
      <x:c r="M45" s="153" t="str">
        <x:v>ja</x:v>
      </x:c>
      <x:c r="N45" s="153" t="str">
        <x:v>ja</x:v>
      </x:c>
      <x:c r="O45" s="153" t="str">
        <x:v>ja</x:v>
      </x:c>
      <x:c r="P45" s="153" t="str">
        <x:v>ja</x:v>
      </x:c>
      <x:c r="Q45" s="153" t="str">
        <x:v>ja</x:v>
      </x:c>
      <x:c r="R45" s="149" t="str">
        <x:v>fallbezogen prüfen</x:v>
      </x:c>
      <x:c r="S45" s="149" t="str">
        <x:v>fallbezogen prüfen</x:v>
      </x:c>
      <x:c r="T45" s="149" t="str">
        <x:v>Phasengrenze</x:v>
      </x:c>
    </x:row>
    <x:row r="46" ht="40" customHeight="1">
      <x:c r="A46" s="141" t="s">
        <x:v>77</x:v>
      </x:c>
      <x:c r="B46" s="142"/>
      <x:c r="C46" s="142"/>
      <x:c r="D46" s="141" t="s">
        <x:v>78</x:v>
      </x:c>
      <x:c r="E46" s="166" t="n">
        <x:v>45901</x:v>
      </x:c>
      <x:c r="F46" s="144" t="n">
        <x:v>46052</x:v>
      </x:c>
      <x:c r="G46" s="145" t="n">
        <x:v>46080</x:v>
      </x:c>
      <x:c r="H46" s="166" t="n">
        <x:v>46265</x:v>
      </x:c>
      <x:c r="I46" s="141" t="s">
        <x:v>79</x:v>
      </x:c>
      <x:c r="J46" s="167" t="s">
        <x:v>9</x:v>
      </x:c>
      <x:c r="K46" s="142" t="str"/>
      <x:c r="L46" s="142" t="str"/>
      <x:c r="M46" s="147" t="str">
        <x:v>ja</x:v>
      </x:c>
      <x:c r="N46" s="147" t="str">
        <x:v>ja</x:v>
      </x:c>
      <x:c r="O46" s="147" t="str">
        <x:v>ja</x:v>
      </x:c>
      <x:c r="P46" s="147" t="str">
        <x:v>ja</x:v>
      </x:c>
      <x:c r="Q46" s="147" t="str">
        <x:v>ja</x:v>
      </x:c>
      <x:c r="R46" s="142" t="str">
        <x:v>fallbezogen prüfen</x:v>
      </x:c>
      <x:c r="S46" s="142" t="str">
        <x:v>fallbezogen prüfen</x:v>
      </x:c>
      <x:c r="T46" s="142" t="str">
        <x:v>Phasengrenze</x:v>
      </x:c>
    </x:row>
    <x:row r="47" ht="40" customHeight="1">
      <x:c r="A47" s="141" t="s">
        <x:v>77</x:v>
      </x:c>
      <x:c r="B47" s="142"/>
      <x:c r="C47" s="142"/>
      <x:c r="D47" s="141" t="s">
        <x:v>80</x:v>
      </x:c>
      <x:c r="E47" s="166" t="n">
        <x:v>45901</x:v>
      </x:c>
      <x:c r="F47" s="144" t="n">
        <x:v>46052</x:v>
      </x:c>
      <x:c r="G47" s="145" t="n">
        <x:v>46080</x:v>
      </x:c>
      <x:c r="H47" s="166" t="n">
        <x:v>46265</x:v>
      </x:c>
      <x:c r="I47" s="141" t="s">
        <x:v>57</x:v>
      </x:c>
      <x:c r="J47" s="167" t="s">
        <x:v>12</x:v>
      </x:c>
      <x:c r="K47" s="142" t="str"/>
      <x:c r="L47" s="142" t="str"/>
      <x:c r="M47" s="147" t="str">
        <x:v>ja</x:v>
      </x:c>
      <x:c r="N47" s="147" t="str">
        <x:v>ja</x:v>
      </x:c>
      <x:c r="O47" s="147" t="str">
        <x:v>ja</x:v>
      </x:c>
      <x:c r="P47" s="147" t="str">
        <x:v>ja</x:v>
      </x:c>
      <x:c r="Q47" s="147" t="str">
        <x:v>ja</x:v>
      </x:c>
      <x:c r="R47" s="142" t="str">
        <x:v>fallbezogen prüfen</x:v>
      </x:c>
      <x:c r="S47" s="142" t="str">
        <x:v>fallbezogen prüfen</x:v>
      </x:c>
      <x:c r="T47" s="142" t="str">
        <x:v>Phasengrenze</x:v>
      </x:c>
    </x:row>
    <x:row r="48" ht="40" customHeight="1">
      <x:c r="A48" s="141" t="s">
        <x:v>77</x:v>
      </x:c>
      <x:c r="B48" s="142"/>
      <x:c r="C48" s="142"/>
      <x:c r="D48" s="141" t="s">
        <x:v>81</x:v>
      </x:c>
      <x:c r="E48" s="166" t="n">
        <x:v>45901</x:v>
      </x:c>
      <x:c r="F48" s="144" t="n">
        <x:v>46052</x:v>
      </x:c>
      <x:c r="G48" s="145" t="n">
        <x:v>46108</x:v>
      </x:c>
      <x:c r="H48" s="166" t="n">
        <x:v>46265</x:v>
      </x:c>
      <x:c r="I48" s="141" t="s">
        <x:v>29</x:v>
      </x:c>
      <x:c r="J48" s="167" t="s">
        <x:v>9</x:v>
      </x:c>
      <x:c r="K48" s="142" t="str"/>
      <x:c r="L48" s="142" t="str"/>
      <x:c r="M48" s="147" t="str">
        <x:v>ja</x:v>
      </x:c>
      <x:c r="N48" s="147" t="str">
        <x:v>ja</x:v>
      </x:c>
      <x:c r="O48" s="147" t="str">
        <x:v>ja</x:v>
      </x:c>
      <x:c r="P48" s="147" t="str">
        <x:v>ja</x:v>
      </x:c>
      <x:c r="Q48" s="147" t="str">
        <x:v>ja</x:v>
      </x:c>
      <x:c r="R48" s="142" t="str">
        <x:v>fallbezogen prüfen</x:v>
      </x:c>
      <x:c r="S48" s="142" t="str">
        <x:v>fallbezogen prüfen</x:v>
      </x:c>
      <x:c r="T48" s="142" t="str">
        <x:v>Phasengrenze</x:v>
      </x:c>
    </x:row>
    <x:row r="49" ht="40" customHeight="1">
      <x:c r="A49" s="141" t="s">
        <x:v>77</x:v>
      </x:c>
      <x:c r="B49" s="142"/>
      <x:c r="C49" s="142"/>
      <x:c r="D49" s="141" t="s">
        <x:v>82</x:v>
      </x:c>
      <x:c r="E49" s="166" t="n">
        <x:v>45901</x:v>
      </x:c>
      <x:c r="F49" s="144" t="n">
        <x:v>46052</x:v>
      </x:c>
      <x:c r="G49" s="145" t="n">
        <x:v>46108</x:v>
      </x:c>
      <x:c r="H49" s="166" t="n">
        <x:v>46265</x:v>
      </x:c>
      <x:c r="I49" s="141" t="s">
        <x:v>37</x:v>
      </x:c>
      <x:c r="J49" s="167" t="s">
        <x:v>12</x:v>
      </x:c>
      <x:c r="K49" s="142" t="str"/>
      <x:c r="L49" s="142" t="str"/>
      <x:c r="M49" s="147" t="str">
        <x:v>ja</x:v>
      </x:c>
      <x:c r="N49" s="147" t="str">
        <x:v>ja</x:v>
      </x:c>
      <x:c r="O49" s="147" t="str">
        <x:v>ja</x:v>
      </x:c>
      <x:c r="P49" s="147" t="str">
        <x:v>ja</x:v>
      </x:c>
      <x:c r="Q49" s="147" t="str">
        <x:v>ja</x:v>
      </x:c>
      <x:c r="R49" s="142" t="str">
        <x:v>fallbezogen prüfen</x:v>
      </x:c>
      <x:c r="S49" s="142" t="str">
        <x:v>fallbezogen prüfen</x:v>
      </x:c>
      <x:c r="T49" s="142" t="str">
        <x:v>Phasengrenze</x:v>
      </x:c>
    </x:row>
    <x:row r="50" ht="40" customHeight="1">
      <x:c r="A50" s="141" t="s">
        <x:v>77</x:v>
      </x:c>
      <x:c r="B50" s="142"/>
      <x:c r="C50" s="142"/>
      <x:c r="D50" s="141" t="s">
        <x:v>83</x:v>
      </x:c>
      <x:c r="E50" s="166" t="n">
        <x:v>45901</x:v>
      </x:c>
      <x:c r="F50" s="144" t="n">
        <x:v>46052</x:v>
      </x:c>
      <x:c r="G50" s="156" t="n">
        <x:v>46136</x:v>
      </x:c>
      <x:c r="H50" s="166" t="n">
        <x:v>46265</x:v>
      </x:c>
      <x:c r="I50" s="141" t="s">
        <x:v>79</x:v>
      </x:c>
      <x:c r="J50" s="167" t="s">
        <x:v>9</x:v>
      </x:c>
      <x:c r="K50" s="142" t="str"/>
      <x:c r="L50" s="142" t="str"/>
      <x:c r="M50" s="147" t="str">
        <x:v>ja</x:v>
      </x:c>
      <x:c r="N50" s="147" t="str">
        <x:v>ja</x:v>
      </x:c>
      <x:c r="O50" s="147" t="str">
        <x:v>ja</x:v>
      </x:c>
      <x:c r="P50" s="147" t="str">
        <x:v>ja</x:v>
      </x:c>
      <x:c r="Q50" s="147" t="str">
        <x:v>ja</x:v>
      </x:c>
      <x:c r="R50" s="142" t="str">
        <x:v>fallbezogen prüfen</x:v>
      </x:c>
      <x:c r="S50" s="142" t="str">
        <x:v>fallbezogen prüfen</x:v>
      </x:c>
      <x:c r="T50" s="142" t="str">
        <x:v>Phasengrenze</x:v>
      </x:c>
    </x:row>
    <x:row r="51" s="11" customFormat="1" ht="40" customHeight="1">
      <x:c r="A51" s="148" t="s">
        <x:v>77</x:v>
      </x:c>
      <x:c r="B51" s="149"/>
      <x:c r="C51" s="149"/>
      <x:c r="D51" s="148" t="s">
        <x:v>84</x:v>
      </x:c>
      <x:c r="E51" s="168" t="n">
        <x:v>45901</x:v>
      </x:c>
      <x:c r="F51" s="151" t="n">
        <x:v>46052</x:v>
      </x:c>
      <x:c r="G51" s="159" t="n">
        <x:v>46164</x:v>
      </x:c>
      <x:c r="H51" s="168" t="n">
        <x:v>46265</x:v>
      </x:c>
      <x:c r="I51" s="148" t="s">
        <x:v>29</x:v>
      </x:c>
      <x:c r="J51" s="172" t="s">
        <x:v>9</x:v>
      </x:c>
      <x:c r="K51" s="149" t="str"/>
      <x:c r="L51" s="149" t="str"/>
      <x:c r="M51" s="153" t="str">
        <x:v>ja</x:v>
      </x:c>
      <x:c r="N51" s="153" t="str">
        <x:v>ja</x:v>
      </x:c>
      <x:c r="O51" s="153" t="str">
        <x:v>ja</x:v>
      </x:c>
      <x:c r="P51" s="153" t="str">
        <x:v>ja</x:v>
      </x:c>
      <x:c r="Q51" s="153" t="str">
        <x:v>ja</x:v>
      </x:c>
      <x:c r="R51" s="149" t="str">
        <x:v>fallbezogen prüfen</x:v>
      </x:c>
      <x:c r="S51" s="149" t="str">
        <x:v>fallbezogen prüfen</x:v>
      </x:c>
      <x:c r="T51" s="149" t="str">
        <x:v>Phasengrenze</x:v>
      </x:c>
    </x:row>
    <x:row r="52" ht="40" customHeight="1">
      <x:c r="A52" s="141" t="s">
        <x:v>85</x:v>
      </x:c>
      <x:c r="B52" s="142"/>
      <x:c r="C52" s="142"/>
      <x:c r="D52" s="141" t="s">
        <x:v>86</x:v>
      </x:c>
      <x:c r="E52" s="145" t="n">
        <x:v>45778</x:v>
      </x:c>
      <x:c r="F52" s="144" t="n">
        <x:v>46122</x:v>
      </x:c>
      <x:c r="G52" s="145" t="n">
        <x:v>46150</x:v>
      </x:c>
      <x:c r="H52" s="143" t="n">
        <x:v>46265</x:v>
      </x:c>
      <x:c r="I52" s="141" t="s">
        <x:v>57</x:v>
      </x:c>
      <x:c r="J52" s="141" t="s">
        <x:v>12</x:v>
      </x:c>
      <x:c r="K52" s="142" t="str"/>
      <x:c r="L52" s="142" t="str"/>
      <x:c r="M52" s="147" t="str">
        <x:v>ja</x:v>
      </x:c>
      <x:c r="N52" s="147" t="str">
        <x:v>ja</x:v>
      </x:c>
      <x:c r="O52" s="147" t="str">
        <x:v>ja</x:v>
      </x:c>
      <x:c r="P52" s="147" t="str">
        <x:v>ja</x:v>
      </x:c>
      <x:c r="Q52" s="147" t="str">
        <x:v>ja</x:v>
      </x:c>
      <x:c r="R52" s="142" t="str">
        <x:v>fallbezogen prüfen</x:v>
      </x:c>
      <x:c r="S52" s="142" t="str">
        <x:v>fallbezogen prüfen</x:v>
      </x:c>
      <x:c r="T52" s="142" t="str">
        <x:v>Phasengrenze</x:v>
      </x:c>
    </x:row>
    <x:row r="53" ht="40" customHeight="1">
      <x:c r="A53" s="141" t="s">
        <x:v>85</x:v>
      </x:c>
      <x:c r="B53" s="142"/>
      <x:c r="C53" s="142"/>
      <x:c r="D53" s="141" t="s">
        <x:v>87</x:v>
      </x:c>
      <x:c r="E53" s="145" t="n">
        <x:v>45778</x:v>
      </x:c>
      <x:c r="F53" s="144" t="n">
        <x:v>46122</x:v>
      </x:c>
      <x:c r="G53" s="145" t="n">
        <x:v>46150</x:v>
      </x:c>
      <x:c r="H53" s="143" t="n">
        <x:v>46265</x:v>
      </x:c>
      <x:c r="I53" s="141" t="s">
        <x:v>57</x:v>
      </x:c>
      <x:c r="J53" s="141" t="s">
        <x:v>12</x:v>
      </x:c>
      <x:c r="K53" s="142" t="str"/>
      <x:c r="L53" s="142" t="str"/>
      <x:c r="M53" s="147" t="str">
        <x:v>ja</x:v>
      </x:c>
      <x:c r="N53" s="147" t="str">
        <x:v>ja</x:v>
      </x:c>
      <x:c r="O53" s="147" t="str">
        <x:v>ja</x:v>
      </x:c>
      <x:c r="P53" s="147" t="str">
        <x:v>ja</x:v>
      </x:c>
      <x:c r="Q53" s="147" t="str">
        <x:v>ja</x:v>
      </x:c>
      <x:c r="R53" s="142" t="str">
        <x:v>fallbezogen prüfen</x:v>
      </x:c>
      <x:c r="S53" s="142" t="str">
        <x:v>fallbezogen prüfen</x:v>
      </x:c>
      <x:c r="T53" s="142" t="str">
        <x:v>Phasengrenze</x:v>
      </x:c>
    </x:row>
    <x:row r="54" ht="40" customHeight="1">
      <x:c r="A54" s="141" t="s">
        <x:v>85</x:v>
      </x:c>
      <x:c r="B54" s="142"/>
      <x:c r="C54" s="142"/>
      <x:c r="D54" s="141" t="s">
        <x:v>88</x:v>
      </x:c>
      <x:c r="E54" s="145" t="n">
        <x:v>45778</x:v>
      </x:c>
      <x:c r="F54" s="144" t="n">
        <x:v>46122</x:v>
      </x:c>
      <x:c r="G54" s="145" t="n">
        <x:v>46178</x:v>
      </x:c>
      <x:c r="H54" s="143" t="n">
        <x:v>46265</x:v>
      </x:c>
      <x:c r="I54" s="141" t="s">
        <x:v>8</x:v>
      </x:c>
      <x:c r="J54" s="141" t="s">
        <x:v>9</x:v>
      </x:c>
      <x:c r="K54" s="142" t="str"/>
      <x:c r="L54" s="142" t="str"/>
      <x:c r="M54" s="147" t="str">
        <x:v>ja</x:v>
      </x:c>
      <x:c r="N54" s="147" t="str">
        <x:v>ja</x:v>
      </x:c>
      <x:c r="O54" s="147" t="str">
        <x:v>ja</x:v>
      </x:c>
      <x:c r="P54" s="147" t="str">
        <x:v>ja</x:v>
      </x:c>
      <x:c r="Q54" s="147" t="str">
        <x:v>ja</x:v>
      </x:c>
      <x:c r="R54" s="142" t="str">
        <x:v>fallbezogen prüfen</x:v>
      </x:c>
      <x:c r="S54" s="142" t="str">
        <x:v>fallbezogen prüfen</x:v>
      </x:c>
      <x:c r="T54" s="142" t="str">
        <x:v>Phasengrenze</x:v>
      </x:c>
    </x:row>
    <x:row r="55" ht="40" customHeight="1">
      <x:c r="A55" s="141" t="s">
        <x:v>85</x:v>
      </x:c>
      <x:c r="B55" s="142"/>
      <x:c r="C55" s="142"/>
      <x:c r="D55" s="141" t="s">
        <x:v>89</x:v>
      </x:c>
      <x:c r="E55" s="145" t="n">
        <x:v>45778</x:v>
      </x:c>
      <x:c r="F55" s="144" t="n">
        <x:v>46122</x:v>
      </x:c>
      <x:c r="G55" s="145" t="n">
        <x:v>46178</x:v>
      </x:c>
      <x:c r="H55" s="143" t="n">
        <x:v>46265</x:v>
      </x:c>
      <x:c r="I55" s="141" t="s">
        <x:v>8</x:v>
      </x:c>
      <x:c r="J55" s="141" t="s">
        <x:v>9</x:v>
      </x:c>
      <x:c r="K55" s="142" t="str"/>
      <x:c r="L55" s="142" t="str"/>
      <x:c r="M55" s="147" t="str">
        <x:v>ja</x:v>
      </x:c>
      <x:c r="N55" s="147" t="str">
        <x:v>ja</x:v>
      </x:c>
      <x:c r="O55" s="147" t="str">
        <x:v>ja</x:v>
      </x:c>
      <x:c r="P55" s="147" t="str">
        <x:v>ja</x:v>
      </x:c>
      <x:c r="Q55" s="147" t="str">
        <x:v>ja</x:v>
      </x:c>
      <x:c r="R55" s="142" t="str">
        <x:v>fallbezogen prüfen</x:v>
      </x:c>
      <x:c r="S55" s="142" t="str">
        <x:v>fallbezogen prüfen</x:v>
      </x:c>
      <x:c r="T55" s="142" t="str">
        <x:v>Phasengrenze</x:v>
      </x:c>
    </x:row>
    <x:row r="56" ht="40" customHeight="1">
      <x:c r="A56" s="141" t="s">
        <x:v>85</x:v>
      </x:c>
      <x:c r="B56" s="142"/>
      <x:c r="C56" s="142"/>
      <x:c r="D56" s="141" t="s">
        <x:v>90</x:v>
      </x:c>
      <x:c r="E56" s="145" t="n">
        <x:v>45778</x:v>
      </x:c>
      <x:c r="F56" s="144" t="n">
        <x:v>46122</x:v>
      </x:c>
      <x:c r="G56" s="145" t="n">
        <x:v>46206</x:v>
      </x:c>
      <x:c r="H56" s="143" t="n">
        <x:v>46265</x:v>
      </x:c>
      <x:c r="I56" s="141" t="s">
        <x:v>57</x:v>
      </x:c>
      <x:c r="J56" s="141" t="s">
        <x:v>12</x:v>
      </x:c>
      <x:c r="K56" s="142" t="str"/>
      <x:c r="L56" s="142" t="str"/>
      <x:c r="M56" s="147" t="str">
        <x:v>ja</x:v>
      </x:c>
      <x:c r="N56" s="147" t="str">
        <x:v>ja</x:v>
      </x:c>
      <x:c r="O56" s="147" t="str">
        <x:v>ja</x:v>
      </x:c>
      <x:c r="P56" s="147" t="str">
        <x:v>ja</x:v>
      </x:c>
      <x:c r="Q56" s="147" t="str">
        <x:v>ja</x:v>
      </x:c>
      <x:c r="R56" s="142" t="str">
        <x:v>fallbezogen prüfen</x:v>
      </x:c>
      <x:c r="S56" s="142" t="str">
        <x:v>fallbezogen prüfen</x:v>
      </x:c>
      <x:c r="T56" s="142" t="str">
        <x:v>Phasengrenze</x:v>
      </x:c>
    </x:row>
    <x:row r="57" s="11" customFormat="1" ht="40" customHeight="1">
      <x:c r="A57" s="148" t="s">
        <x:v>85</x:v>
      </x:c>
      <x:c r="B57" s="149"/>
      <x:c r="C57" s="149"/>
      <x:c r="D57" s="148" t="s">
        <x:v>91</x:v>
      </x:c>
      <x:c r="E57" s="159" t="n">
        <x:v>45635</x:v>
      </x:c>
      <x:c r="F57" s="151" t="n">
        <x:v>46122</x:v>
      </x:c>
      <x:c r="G57" s="159" t="n">
        <x:v>46234</x:v>
      </x:c>
      <x:c r="H57" s="150" t="n">
        <x:v>46265</x:v>
      </x:c>
      <x:c r="I57" s="148" t="s">
        <x:v>14</x:v>
      </x:c>
      <x:c r="J57" s="148" t="s">
        <x:v>12</x:v>
      </x:c>
      <x:c r="K57" s="149" t="str"/>
      <x:c r="L57" s="149" t="str"/>
      <x:c r="M57" s="153" t="str">
        <x:v>ja</x:v>
      </x:c>
      <x:c r="N57" s="153" t="str">
        <x:v>ja</x:v>
      </x:c>
      <x:c r="O57" s="153" t="str">
        <x:v>ja</x:v>
      </x:c>
      <x:c r="P57" s="153" t="str">
        <x:v>ja</x:v>
      </x:c>
      <x:c r="Q57" s="153" t="str">
        <x:v>ja</x:v>
      </x:c>
      <x:c r="R57" s="149" t="str">
        <x:v>fallbezogen prüfen</x:v>
      </x:c>
      <x:c r="S57" s="149" t="str">
        <x:v>fallbezogen prüfen</x:v>
      </x:c>
      <x:c r="T57" s="149" t="str">
        <x:v>Phasengrenze</x:v>
      </x:c>
    </x:row>
    <x:row r="58" s="15" customFormat="1" ht="40" customHeight="1">
      <x:c r="A58" s="141" t="s">
        <x:v>92</x:v>
      </x:c>
      <x:c r="B58" s="142"/>
      <x:c r="C58" s="142"/>
      <x:c r="D58" s="141" t="s">
        <x:v>93</x:v>
      </x:c>
      <x:c r="E58" s="143" t="n">
        <x:v>45930</x:v>
      </x:c>
      <x:c r="F58" s="144" t="n">
        <x:v>46059</x:v>
      </x:c>
      <x:c r="G58" s="145" t="n">
        <x:v>46087</x:v>
      </x:c>
      <x:c r="H58" s="143" t="n">
        <x:v>46203</x:v>
      </x:c>
      <x:c r="I58" s="141" t="s">
        <x:v>14</x:v>
      </x:c>
      <x:c r="J58" s="146" t="s">
        <x:v>12</x:v>
      </x:c>
      <x:c r="K58" s="142" t="str"/>
      <x:c r="L58" s="142" t="str"/>
      <x:c r="M58" s="147" t="str">
        <x:v>ja</x:v>
      </x:c>
      <x:c r="N58" s="147" t="str">
        <x:v>ja</x:v>
      </x:c>
      <x:c r="O58" s="147" t="str">
        <x:v>ja</x:v>
      </x:c>
      <x:c r="P58" s="147" t="str">
        <x:v>ja</x:v>
      </x:c>
      <x:c r="Q58" s="147" t="str">
        <x:v>ja</x:v>
      </x:c>
      <x:c r="R58" s="142" t="str">
        <x:v>fallbezogen prüfen</x:v>
      </x:c>
      <x:c r="S58" s="142" t="str">
        <x:v>fallbezogen prüfen</x:v>
      </x:c>
      <x:c r="T58" s="142" t="str">
        <x:v>Phasengrenze</x:v>
      </x:c>
    </x:row>
    <x:row r="59" s="15" customFormat="1" ht="40" customHeight="1">
      <x:c r="A59" s="141" t="s">
        <x:v>92</x:v>
      </x:c>
      <x:c r="B59" s="142"/>
      <x:c r="C59" s="142"/>
      <x:c r="D59" s="141" t="s">
        <x:v>94</x:v>
      </x:c>
      <x:c r="E59" s="143" t="n">
        <x:v>45930</x:v>
      </x:c>
      <x:c r="F59" s="144" t="n">
        <x:v>46059</x:v>
      </x:c>
      <x:c r="G59" s="145" t="n">
        <x:v>46087</x:v>
      </x:c>
      <x:c r="H59" s="143" t="n">
        <x:v>46203</x:v>
      </x:c>
      <x:c r="I59" s="141" t="s">
        <x:v>67</x:v>
      </x:c>
      <x:c r="J59" s="146" t="s">
        <x:v>9</x:v>
      </x:c>
      <x:c r="K59" s="142" t="str"/>
      <x:c r="L59" s="142" t="str"/>
      <x:c r="M59" s="147" t="str">
        <x:v>ja</x:v>
      </x:c>
      <x:c r="N59" s="147" t="str">
        <x:v>ja</x:v>
      </x:c>
      <x:c r="O59" s="147" t="str">
        <x:v>ja</x:v>
      </x:c>
      <x:c r="P59" s="147" t="str">
        <x:v>ja</x:v>
      </x:c>
      <x:c r="Q59" s="147" t="str">
        <x:v>ja</x:v>
      </x:c>
      <x:c r="R59" s="142" t="str">
        <x:v>fallbezogen prüfen</x:v>
      </x:c>
      <x:c r="S59" s="142" t="str">
        <x:v>fallbezogen prüfen</x:v>
      </x:c>
      <x:c r="T59" s="142" t="str">
        <x:v>Phasengrenze</x:v>
      </x:c>
    </x:row>
    <x:row r="60" s="15" customFormat="1" ht="40" customHeight="1">
      <x:c r="A60" s="141" t="s">
        <x:v>92</x:v>
      </x:c>
      <x:c r="B60" s="142"/>
      <x:c r="C60" s="142"/>
      <x:c r="D60" s="141" t="s">
        <x:v>95</x:v>
      </x:c>
      <x:c r="E60" s="143" t="n">
        <x:v>45930</x:v>
      </x:c>
      <x:c r="F60" s="144" t="n">
        <x:v>46059</x:v>
      </x:c>
      <x:c r="G60" s="145" t="n">
        <x:v>46115</x:v>
      </x:c>
      <x:c r="H60" s="143" t="n">
        <x:v>46203</x:v>
      </x:c>
      <x:c r="I60" s="141" t="s">
        <x:v>26</x:v>
      </x:c>
      <x:c r="J60" s="146" t="s">
        <x:v>19</x:v>
      </x:c>
      <x:c r="K60" s="142" t="str"/>
      <x:c r="L60" s="142" t="str"/>
      <x:c r="M60" s="147" t="str">
        <x:v>ja</x:v>
      </x:c>
      <x:c r="N60" s="147" t="str">
        <x:v>ja</x:v>
      </x:c>
      <x:c r="O60" s="147" t="str">
        <x:v>ja</x:v>
      </x:c>
      <x:c r="P60" s="147" t="str">
        <x:v>ja</x:v>
      </x:c>
      <x:c r="Q60" s="147" t="str">
        <x:v>ja</x:v>
      </x:c>
      <x:c r="R60" s="142" t="str">
        <x:v>fallbezogen prüfen</x:v>
      </x:c>
      <x:c r="S60" s="142" t="str">
        <x:v>fallbezogen prüfen</x:v>
      </x:c>
      <x:c r="T60" s="142" t="str">
        <x:v>Phasengrenze</x:v>
      </x:c>
    </x:row>
    <x:row r="61" ht="40" customHeight="1">
      <x:c r="A61" s="141" t="s">
        <x:v>92</x:v>
      </x:c>
      <x:c r="B61" s="142"/>
      <x:c r="C61" s="142"/>
      <x:c r="D61" s="141" t="s">
        <x:v>96</x:v>
      </x:c>
      <x:c r="E61" s="143" t="n">
        <x:v>45930</x:v>
      </x:c>
      <x:c r="F61" s="144" t="n">
        <x:v>46059</x:v>
      </x:c>
      <x:c r="G61" s="145" t="n">
        <x:v>46115</x:v>
      </x:c>
      <x:c r="H61" s="143" t="n">
        <x:v>46203</x:v>
      </x:c>
      <x:c r="I61" s="141" t="s">
        <x:v>57</x:v>
      </x:c>
      <x:c r="J61" s="146" t="s">
        <x:v>19</x:v>
      </x:c>
      <x:c r="K61" s="142" t="str"/>
      <x:c r="L61" s="142" t="str"/>
      <x:c r="M61" s="147" t="str">
        <x:v>ja</x:v>
      </x:c>
      <x:c r="N61" s="147" t="str">
        <x:v>ja</x:v>
      </x:c>
      <x:c r="O61" s="147" t="str">
        <x:v>ja</x:v>
      </x:c>
      <x:c r="P61" s="147" t="str">
        <x:v>ja</x:v>
      </x:c>
      <x:c r="Q61" s="147" t="str">
        <x:v>ja</x:v>
      </x:c>
      <x:c r="R61" s="142" t="str">
        <x:v>fallbezogen prüfen</x:v>
      </x:c>
      <x:c r="S61" s="142" t="str">
        <x:v>fallbezogen prüfen</x:v>
      </x:c>
      <x:c r="T61" s="142" t="str">
        <x:v>Phasengrenze</x:v>
      </x:c>
    </x:row>
    <x:row r="62" ht="40" customHeight="1">
      <x:c r="A62" s="141" t="s">
        <x:v>92</x:v>
      </x:c>
      <x:c r="B62" s="142"/>
      <x:c r="C62" s="142"/>
      <x:c r="D62" s="141" t="s">
        <x:v>97</x:v>
      </x:c>
      <x:c r="E62" s="143" t="n">
        <x:v>45930</x:v>
      </x:c>
      <x:c r="F62" s="144" t="n">
        <x:v>46059</x:v>
      </x:c>
      <x:c r="G62" s="145" t="n">
        <x:v>46143</x:v>
      </x:c>
      <x:c r="H62" s="143" t="n">
        <x:v>46203</x:v>
      </x:c>
      <x:c r="I62" s="141" t="s">
        <x:v>39</x:v>
      </x:c>
      <x:c r="J62" s="146" t="s">
        <x:v>19</x:v>
      </x:c>
      <x:c r="K62" s="142" t="str"/>
      <x:c r="L62" s="142" t="str"/>
      <x:c r="M62" s="147" t="str">
        <x:v>ja</x:v>
      </x:c>
      <x:c r="N62" s="147" t="str">
        <x:v>ja</x:v>
      </x:c>
      <x:c r="O62" s="147" t="str">
        <x:v>ja</x:v>
      </x:c>
      <x:c r="P62" s="147" t="str">
        <x:v>ja</x:v>
      </x:c>
      <x:c r="Q62" s="147" t="str">
        <x:v>ja</x:v>
      </x:c>
      <x:c r="R62" s="142" t="str">
        <x:v>fallbezogen prüfen</x:v>
      </x:c>
      <x:c r="S62" s="142" t="str">
        <x:v>fallbezogen prüfen</x:v>
      </x:c>
      <x:c r="T62" s="142" t="str">
        <x:v>Phasengrenze</x:v>
      </x:c>
    </x:row>
    <x:row r="63" s="11" customFormat="1" ht="40" customHeight="1">
      <x:c r="A63" s="148" t="s">
        <x:v>92</x:v>
      </x:c>
      <x:c r="B63" s="149"/>
      <x:c r="C63" s="149"/>
      <x:c r="D63" s="148" t="s">
        <x:v>98</x:v>
      </x:c>
      <x:c r="E63" s="150" t="n">
        <x:v>45930</x:v>
      </x:c>
      <x:c r="F63" s="151" t="n">
        <x:v>46059</x:v>
      </x:c>
      <x:c r="G63" s="159" t="n">
        <x:v>46171</x:v>
      </x:c>
      <x:c r="H63" s="150" t="n">
        <x:v>46203</x:v>
      </x:c>
      <x:c r="I63" s="148" t="s">
        <x:v>8</x:v>
      </x:c>
      <x:c r="J63" s="152" t="s">
        <x:v>9</x:v>
      </x:c>
      <x:c r="K63" s="149" t="str"/>
      <x:c r="L63" s="149" t="str"/>
      <x:c r="M63" s="153" t="str">
        <x:v>ja</x:v>
      </x:c>
      <x:c r="N63" s="153" t="str">
        <x:v>ja</x:v>
      </x:c>
      <x:c r="O63" s="153" t="str">
        <x:v>ja</x:v>
      </x:c>
      <x:c r="P63" s="153" t="str">
        <x:v>ja</x:v>
      </x:c>
      <x:c r="Q63" s="153" t="str">
        <x:v>ja</x:v>
      </x:c>
      <x:c r="R63" s="149" t="str">
        <x:v>fallbezogen prüfen</x:v>
      </x:c>
      <x:c r="S63" s="149" t="str">
        <x:v>fallbezogen prüfen</x:v>
      </x:c>
      <x:c r="T63" s="149" t="str">
        <x:v>Phasengrenze</x:v>
      </x:c>
    </x:row>
    <x:row r="64" ht="40" customHeight="1">
      <x:c r="A64" s="141" t="s">
        <x:v>99</x:v>
      </x:c>
      <x:c r="B64" s="142"/>
      <x:c r="C64" s="142"/>
      <x:c r="D64" s="141" t="s">
        <x:v>100</x:v>
      </x:c>
      <x:c r="E64" s="166" t="n">
        <x:v>45839</x:v>
      </x:c>
      <x:c r="F64" s="144" t="n">
        <x:v>46045</x:v>
      </x:c>
      <x:c r="G64" s="145" t="n">
        <x:v>46073</x:v>
      </x:c>
      <x:c r="H64" s="166" t="n">
        <x:v>46265</x:v>
      </x:c>
      <x:c r="I64" s="141" t="s">
        <x:v>101</x:v>
      </x:c>
      <x:c r="J64" s="141" t="s">
        <x:v>12</x:v>
      </x:c>
      <x:c r="K64" s="142" t="str"/>
      <x:c r="L64" s="142" t="str"/>
      <x:c r="M64" s="147" t="str">
        <x:v>ja</x:v>
      </x:c>
      <x:c r="N64" s="147" t="str">
        <x:v>ja</x:v>
      </x:c>
      <x:c r="O64" s="147" t="str">
        <x:v>ja</x:v>
      </x:c>
      <x:c r="P64" s="147" t="str">
        <x:v>ja</x:v>
      </x:c>
      <x:c r="Q64" s="147" t="str">
        <x:v>ja</x:v>
      </x:c>
      <x:c r="R64" s="142" t="str">
        <x:v>fallbezogen prüfen</x:v>
      </x:c>
      <x:c r="S64" s="142" t="str">
        <x:v>fallbezogen prüfen</x:v>
      </x:c>
      <x:c r="T64" s="142" t="str">
        <x:v>Phasengrenze</x:v>
      </x:c>
    </x:row>
    <x:row r="65" ht="40" customHeight="1">
      <x:c r="A65" s="141" t="s">
        <x:v>99</x:v>
      </x:c>
      <x:c r="B65" s="142"/>
      <x:c r="C65" s="142"/>
      <x:c r="D65" s="141" t="s">
        <x:v>102</x:v>
      </x:c>
      <x:c r="E65" s="166" t="n">
        <x:v>45839</x:v>
      </x:c>
      <x:c r="F65" s="144" t="n">
        <x:v>46045</x:v>
      </x:c>
      <x:c r="G65" s="145" t="n">
        <x:v>46101</x:v>
      </x:c>
      <x:c r="H65" s="166" t="n">
        <x:v>46265</x:v>
      </x:c>
      <x:c r="I65" s="141" t="s">
        <x:v>11</x:v>
      </x:c>
      <x:c r="J65" s="141" t="s">
        <x:v>12</x:v>
      </x:c>
      <x:c r="K65" s="142" t="str"/>
      <x:c r="L65" s="142" t="str"/>
      <x:c r="M65" s="147" t="str">
        <x:v>ja</x:v>
      </x:c>
      <x:c r="N65" s="147" t="str">
        <x:v>ja</x:v>
      </x:c>
      <x:c r="O65" s="147" t="str">
        <x:v>ja</x:v>
      </x:c>
      <x:c r="P65" s="147" t="str">
        <x:v>ja</x:v>
      </x:c>
      <x:c r="Q65" s="147" t="str">
        <x:v>ja</x:v>
      </x:c>
      <x:c r="R65" s="142" t="str">
        <x:v>fallbezogen prüfen</x:v>
      </x:c>
      <x:c r="S65" s="142" t="str">
        <x:v>fallbezogen prüfen</x:v>
      </x:c>
      <x:c r="T65" s="142" t="str">
        <x:v>Phasengrenze</x:v>
      </x:c>
    </x:row>
    <x:row r="66" ht="40" customHeight="1">
      <x:c r="A66" s="141" t="s">
        <x:v>99</x:v>
      </x:c>
      <x:c r="B66" s="142"/>
      <x:c r="C66" s="142"/>
      <x:c r="D66" s="141" t="s">
        <x:v>103</x:v>
      </x:c>
      <x:c r="E66" s="166" t="n">
        <x:v>45839</x:v>
      </x:c>
      <x:c r="F66" s="144" t="n">
        <x:v>46045</x:v>
      </x:c>
      <x:c r="G66" s="145" t="n">
        <x:v>46129</x:v>
      </x:c>
      <x:c r="H66" s="166" t="n">
        <x:v>46265</x:v>
      </x:c>
      <x:c r="I66" s="141" t="s">
        <x:v>11</x:v>
      </x:c>
      <x:c r="J66" s="141" t="s">
        <x:v>12</x:v>
      </x:c>
      <x:c r="K66" s="142" t="str"/>
      <x:c r="L66" s="142" t="str"/>
      <x:c r="M66" s="147" t="str">
        <x:v>ja</x:v>
      </x:c>
      <x:c r="N66" s="147" t="str">
        <x:v>ja</x:v>
      </x:c>
      <x:c r="O66" s="147" t="str">
        <x:v>ja</x:v>
      </x:c>
      <x:c r="P66" s="147" t="str">
        <x:v>ja</x:v>
      </x:c>
      <x:c r="Q66" s="147" t="str">
        <x:v>ja</x:v>
      </x:c>
      <x:c r="R66" s="142" t="str">
        <x:v>fallbezogen prüfen</x:v>
      </x:c>
      <x:c r="S66" s="142" t="str">
        <x:v>fallbezogen prüfen</x:v>
      </x:c>
      <x:c r="T66" s="142" t="str">
        <x:v>Phasengrenze</x:v>
      </x:c>
    </x:row>
    <x:row r="67" ht="40" customHeight="1">
      <x:c r="A67" s="141" t="s">
        <x:v>99</x:v>
      </x:c>
      <x:c r="B67" s="142"/>
      <x:c r="C67" s="142"/>
      <x:c r="D67" s="141" t="s">
        <x:v>104</x:v>
      </x:c>
      <x:c r="E67" s="166" t="n">
        <x:v>45839</x:v>
      </x:c>
      <x:c r="F67" s="144" t="n">
        <x:v>46045</x:v>
      </x:c>
      <x:c r="G67" s="145" t="n">
        <x:v>46157</x:v>
      </x:c>
      <x:c r="H67" s="166" t="n">
        <x:v>46265</x:v>
      </x:c>
      <x:c r="I67" s="141" t="s">
        <x:v>11</x:v>
      </x:c>
      <x:c r="J67" s="141" t="s">
        <x:v>12</x:v>
      </x:c>
      <x:c r="K67" s="142" t="str"/>
      <x:c r="L67" s="142" t="str"/>
      <x:c r="M67" s="147" t="str">
        <x:v>ja</x:v>
      </x:c>
      <x:c r="N67" s="147" t="str">
        <x:v>ja</x:v>
      </x:c>
      <x:c r="O67" s="147" t="str">
        <x:v>ja</x:v>
      </x:c>
      <x:c r="P67" s="147" t="str">
        <x:v>ja</x:v>
      </x:c>
      <x:c r="Q67" s="147" t="str">
        <x:v>ja</x:v>
      </x:c>
      <x:c r="R67" s="142" t="str">
        <x:v>fallbezogen prüfen</x:v>
      </x:c>
      <x:c r="S67" s="142" t="str">
        <x:v>fallbezogen prüfen</x:v>
      </x:c>
      <x:c r="T67" s="142" t="str">
        <x:v>Phasengrenze</x:v>
      </x:c>
    </x:row>
    <x:row r="68" ht="40" customHeight="1">
      <x:c r="A68" s="141" t="s">
        <x:v>99</x:v>
      </x:c>
      <x:c r="B68" s="157"/>
      <x:c r="C68" s="142"/>
      <x:c r="D68" s="141" t="s">
        <x:v>105</x:v>
      </x:c>
      <x:c r="E68" s="173" t="n">
        <x:v>45839</x:v>
      </x:c>
      <x:c r="F68" s="151" t="n">
        <x:v>46045</x:v>
      </x:c>
      <x:c r="G68" s="159" t="n">
        <x:v>46185</x:v>
      </x:c>
      <x:c r="H68" s="173" t="n">
        <x:v>46265</x:v>
      </x:c>
      <x:c r="I68" s="141" t="s">
        <x:v>11</x:v>
      </x:c>
      <x:c r="J68" s="141" t="s">
        <x:v>12</x:v>
      </x:c>
      <x:c r="K68" s="157" t="str"/>
      <x:c r="L68" s="142" t="str"/>
      <x:c r="M68" s="147" t="str">
        <x:v>ja</x:v>
      </x:c>
      <x:c r="N68" s="147" t="str">
        <x:v>ja</x:v>
      </x:c>
      <x:c r="O68" s="147" t="str">
        <x:v>ja</x:v>
      </x:c>
      <x:c r="P68" s="147" t="str">
        <x:v>ja</x:v>
      </x:c>
      <x:c r="Q68" s="147" t="str">
        <x:v>ja</x:v>
      </x:c>
      <x:c r="R68" s="142" t="str">
        <x:v>fallbezogen prüfen</x:v>
      </x:c>
      <x:c r="S68" s="142" t="str">
        <x:v>fallbezogen prüfen</x:v>
      </x:c>
      <x:c r="T68" s="142" t="str">
        <x:v>Phasengrenze</x:v>
      </x:c>
    </x:row>
    <x:row r="69" s="24" customFormat="1" ht="92" customHeight="1">
      <x:c r="A69" s="160" t="s">
        <x:v>106</x:v>
      </x:c>
      <x:c r="B69" s="142"/>
      <x:c r="C69" s="161"/>
      <x:c r="D69" s="160" t="s">
        <x:v>107</x:v>
      </x:c>
      <x:c r="E69" s="166" t="n">
        <x:v>45839</x:v>
      </x:c>
      <x:c r="F69" s="144" t="n">
        <x:v>46059</x:v>
      </x:c>
      <x:c r="G69" s="145" t="n">
        <x:v>46171</x:v>
      </x:c>
      <x:c r="H69" s="173" t="n">
        <x:v>46265</x:v>
      </x:c>
      <x:c r="I69" s="160" t="s">
        <x:v>42</x:v>
      </x:c>
      <x:c r="J69" s="160" t="s">
        <x:v>9</x:v>
      </x:c>
      <x:c r="K69" s="174" t="str">
        <x:v>CRS-B vom 29.05.2026 bis einschließlich 31.08.2026. Kein Apotheker, vor Ort keine MedA/Findings und keine retrolektive MRP-Bewertung.</x:v>
      </x:c>
      <x:c r="L69" s="161" t="str">
        <x:v>Die frühere Notiz „Apo: nie B“ bezog sich auf fehlende Bewertung. Sie bedeutet keinen CRS-B-Ausschluss. Fallbezogene MedA anderer Stationen separat berücksichtigen.</x:v>
      </x:c>
      <x:c r="M69" s="165" t="str">
        <x:v>ja</x:v>
      </x:c>
      <x:c r="N69" s="165" t="str">
        <x:v>ja</x:v>
      </x:c>
      <x:c r="O69" s="165" t="str">
        <x:v>ja</x:v>
      </x:c>
      <x:c r="P69" s="165" t="str">
        <x:v>ja</x:v>
      </x:c>
      <x:c r="Q69" s="165" t="str">
        <x:v>ja</x:v>
      </x:c>
      <x:c r="R69" s="161" t="str">
        <x:v>nicht durchgeführt</x:v>
      </x:c>
      <x:c r="S69" s="161" t="str">
        <x:v>nicht durchgeführt</x:v>
      </x:c>
      <x:c r="T69" s="161" t="str">
        <x:v>Phasengrenze</x:v>
      </x:c>
    </x:row>
    <x:row r="70" ht="40" customHeight="1">
      <x:c r="A70" s="141" t="s">
        <x:v>106</x:v>
      </x:c>
      <x:c r="B70" s="142"/>
      <x:c r="C70" s="175"/>
      <x:c r="D70" s="141" t="s">
        <x:v>108</x:v>
      </x:c>
      <x:c r="E70" s="166" t="n">
        <x:v>45839</x:v>
      </x:c>
      <x:c r="F70" s="144" t="n">
        <x:v>46059</x:v>
      </x:c>
      <x:c r="G70" s="176" t="n">
        <x:v>46119</x:v>
      </x:c>
      <x:c r="H70" s="145" t="n">
        <x:v>46162</x:v>
      </x:c>
      <x:c r="I70" s="141" t="s">
        <x:v>26</x:v>
      </x:c>
      <x:c r="J70" s="141" t="s">
        <x:v>12</x:v>
      </x:c>
      <x:c r="K70" s="142" t="str"/>
      <x:c r="L70" s="142" t="str"/>
      <x:c r="M70" s="147" t="str">
        <x:v>ja</x:v>
      </x:c>
      <x:c r="N70" s="147" t="str">
        <x:v>ja</x:v>
      </x:c>
      <x:c r="O70" s="147" t="str">
        <x:v>ja</x:v>
      </x:c>
      <x:c r="P70" s="147" t="str">
        <x:v>ja</x:v>
      </x:c>
      <x:c r="Q70" s="147" t="str">
        <x:v>ja</x:v>
      </x:c>
      <x:c r="R70" s="142" t="str">
        <x:v>fallbezogen prüfen</x:v>
      </x:c>
      <x:c r="S70" s="142" t="str">
        <x:v>fallbezogen prüfen</x:v>
      </x:c>
      <x:c r="T70" s="142" t="str">
        <x:v>Phasengrenze</x:v>
      </x:c>
    </x:row>
    <x:row r="71" ht="40" customHeight="1">
      <x:c r="A71" s="175" t="s">
        <x:v>106</x:v>
      </x:c>
      <x:c r="B71" s="142"/>
      <x:c r="C71" s="175"/>
      <x:c r="D71" s="141" t="s">
        <x:v>109</x:v>
      </x:c>
      <x:c r="E71" s="166" t="n">
        <x:v>45839</x:v>
      </x:c>
      <x:c r="F71" s="144" t="n">
        <x:v>46059</x:v>
      </x:c>
      <x:c r="G71" s="145" t="n">
        <x:v>46143</x:v>
      </x:c>
      <x:c r="H71" s="145" t="n">
        <x:v>46220</x:v>
      </x:c>
      <x:c r="I71" s="141" t="s">
        <x:v>16</x:v>
      </x:c>
      <x:c r="J71" s="141" t="s">
        <x:v>9</x:v>
      </x:c>
      <x:c r="K71" s="142" t="str"/>
      <x:c r="L71" s="142" t="str"/>
      <x:c r="M71" s="147" t="str">
        <x:v>ja</x:v>
      </x:c>
      <x:c r="N71" s="147" t="str">
        <x:v>ja</x:v>
      </x:c>
      <x:c r="O71" s="147" t="str">
        <x:v>ja</x:v>
      </x:c>
      <x:c r="P71" s="147" t="str">
        <x:v>ja</x:v>
      </x:c>
      <x:c r="Q71" s="147" t="str">
        <x:v>ja</x:v>
      </x:c>
      <x:c r="R71" s="142" t="str">
        <x:v>fallbezogen prüfen</x:v>
      </x:c>
      <x:c r="S71" s="142" t="str">
        <x:v>fallbezogen prüfen</x:v>
      </x:c>
      <x:c r="T71" s="142" t="str">
        <x:v>Phasengrenze</x:v>
      </x:c>
    </x:row>
    <x:row r="72" ht="92" customHeight="1">
      <x:c r="A72" s="175" t="s">
        <x:v>106</x:v>
      </x:c>
      <x:c r="B72" s="142"/>
      <x:c r="C72" s="175"/>
      <x:c r="D72" s="141" t="s">
        <x:v>110</x:v>
      </x:c>
      <x:c r="E72" s="166" t="n">
        <x:v>45839</x:v>
      </x:c>
      <x:c r="F72" s="144" t="n">
        <x:v>46059</x:v>
      </x:c>
      <x:c r="G72" s="145" t="n">
        <x:v>46143</x:v>
      </x:c>
      <x:c r="H72" s="173" t="n">
        <x:v>46265</x:v>
      </x:c>
      <x:c r="I72" s="141" t="s">
        <x:v>16</x:v>
      </x:c>
      <x:c r="J72" s="141" t="s">
        <x:v>9</x:v>
      </x:c>
      <x:c r="K72" s="177" t="str">
        <x:v>Einschluss nur BS, RES und TRS; keine CRS-A/CRS-B-Teilnahme. Keine automatische Umbenennung zu HC06.</x:v>
      </x:c>
      <x:c r="L72" s="142" t="str">
        <x:v>Frühere pauschale Ausschlussnotiz durch Beschluss ersetzt. Phase-B-Zeitgrenze bleibt für RES erhalten. Krankenhausfälle pro Studie nur einmal zählen.</x:v>
      </x:c>
      <x:c r="M72" s="147" t="str">
        <x:v>ja</x:v>
      </x:c>
      <x:c r="N72" s="147" t="str">
        <x:v>nein</x:v>
      </x:c>
      <x:c r="O72" s="147" t="str">
        <x:v>nein</x:v>
      </x:c>
      <x:c r="P72" s="147" t="str">
        <x:v>ja</x:v>
      </x:c>
      <x:c r="Q72" s="147" t="str">
        <x:v>ja</x:v>
      </x:c>
      <x:c r="R72" s="142" t="str">
        <x:v>fallbezogen prüfen</x:v>
      </x:c>
      <x:c r="S72" s="142" t="str">
        <x:v>fallbezogen prüfen</x:v>
      </x:c>
      <x:c r="T72" s="142" t="str">
        <x:v>Phasengrenze</x:v>
      </x:c>
    </x:row>
    <x:row r="73" ht="92" customHeight="1">
      <x:c r="A73" s="175" t="s">
        <x:v>106</x:v>
      </x:c>
      <x:c r="B73" s="142"/>
      <x:c r="C73" s="175"/>
      <x:c r="D73" s="141" t="s">
        <x:v>111</x:v>
      </x:c>
      <x:c r="E73" s="166" t="n">
        <x:v>45839</x:v>
      </x:c>
      <x:c r="F73" s="144" t="n">
        <x:v>46059</x:v>
      </x:c>
      <x:c r="G73" s="145" t="n">
        <x:v>46143</x:v>
      </x:c>
      <x:c r="H73" s="173" t="n">
        <x:v>46265</x:v>
      </x:c>
      <x:c r="I73" s="141" t="s">
        <x:v>16</x:v>
      </x:c>
      <x:c r="J73" s="141" t="s">
        <x:v>9</x:v>
      </x:c>
      <x:c r="K73" s="177" t="str">
        <x:v>Einschluss nur BS, RES und TRS; keine CRS-A/CRS-B-Teilnahme. Keine automatische Umbenennung zu HC06.</x:v>
      </x:c>
      <x:c r="L73" s="142" t="str">
        <x:v>Frühere pauschale Ausschlussnotiz durch Beschluss ersetzt. Phase-B-Zeitgrenze bleibt für RES erhalten. Krankenhausfälle pro Studie nur einmal zählen.</x:v>
      </x:c>
      <x:c r="M73" s="147" t="str">
        <x:v>ja</x:v>
      </x:c>
      <x:c r="N73" s="147" t="str">
        <x:v>nein</x:v>
      </x:c>
      <x:c r="O73" s="147" t="str">
        <x:v>nein</x:v>
      </x:c>
      <x:c r="P73" s="147" t="str">
        <x:v>ja</x:v>
      </x:c>
      <x:c r="Q73" s="147" t="str">
        <x:v>ja</x:v>
      </x:c>
      <x:c r="R73" s="142" t="str">
        <x:v>fallbezogen prüfen</x:v>
      </x:c>
      <x:c r="S73" s="142" t="str">
        <x:v>fallbezogen prüfen</x:v>
      </x:c>
      <x:c r="T73" s="142" t="str">
        <x:v>Phasengrenze</x:v>
      </x:c>
    </x:row>
    <x:row r="74" s="11" customFormat="1" ht="40" customHeight="1">
      <x:c r="A74" s="178" t="s">
        <x:v>106</x:v>
      </x:c>
      <x:c r="B74" s="157"/>
      <x:c r="C74" s="178"/>
      <x:c r="D74" s="148" t="s">
        <x:v>112</x:v>
      </x:c>
      <x:c r="E74" s="173" t="n">
        <x:v>45839</x:v>
      </x:c>
      <x:c r="F74" s="151" t="n">
        <x:v>46059</x:v>
      </x:c>
      <x:c r="G74" s="159" t="n">
        <x:v>46087</x:v>
      </x:c>
      <x:c r="H74" s="179" t="n">
        <x:v>46098</x:v>
      </x:c>
      <x:c r="I74" s="148" t="s">
        <x:v>113</x:v>
      </x:c>
      <x:c r="J74" s="148" t="s">
        <x:v>9</x:v>
      </x:c>
      <x:c r="K74" s="149" t="str"/>
      <x:c r="L74" s="149" t="str">
        <x:v>Apo: bis 17.03</x:v>
      </x:c>
      <x:c r="M74" s="153" t="str">
        <x:v>ja</x:v>
      </x:c>
      <x:c r="N74" s="153" t="str">
        <x:v>ja</x:v>
      </x:c>
      <x:c r="O74" s="153" t="str">
        <x:v>ja</x:v>
      </x:c>
      <x:c r="P74" s="153" t="str">
        <x:v>ja</x:v>
      </x:c>
      <x:c r="Q74" s="153" t="str">
        <x:v>ja</x:v>
      </x:c>
      <x:c r="R74" s="149" t="str">
        <x:v>fallbezogen prüfen</x:v>
      </x:c>
      <x:c r="S74" s="149" t="str">
        <x:v>fallbezogen prüfen</x:v>
      </x:c>
      <x:c r="T74" s="149" t="str">
        <x:v>Phasengrenze</x:v>
      </x:c>
    </x:row>
    <x:row r="75" ht="40" customHeight="1">
      <x:c r="A75" s="141" t="s">
        <x:v>114</x:v>
      </x:c>
      <x:c r="B75" s="142"/>
      <x:c r="C75" s="142"/>
      <x:c r="D75" s="141" t="s">
        <x:v>115</x:v>
      </x:c>
      <x:c r="E75" s="166" t="n">
        <x:v>45796</x:v>
      </x:c>
      <x:c r="F75" s="144" t="n">
        <x:v>46031</x:v>
      </x:c>
      <x:c r="G75" s="145" t="n">
        <x:v>46059</x:v>
      </x:c>
      <x:c r="H75" s="166" t="n">
        <x:v>46234</x:v>
      </x:c>
      <x:c r="I75" s="141" t="s">
        <x:v>42</x:v>
      </x:c>
      <x:c r="J75" s="167" t="s">
        <x:v>9</x:v>
      </x:c>
      <x:c r="K75" s="142" t="str"/>
      <x:c r="L75" s="142" t="str"/>
      <x:c r="M75" s="147" t="str">
        <x:v>ja</x:v>
      </x:c>
      <x:c r="N75" s="147" t="str">
        <x:v>ja</x:v>
      </x:c>
      <x:c r="O75" s="147" t="str">
        <x:v>ja</x:v>
      </x:c>
      <x:c r="P75" s="147" t="str">
        <x:v>ja</x:v>
      </x:c>
      <x:c r="Q75" s="147" t="str">
        <x:v>ja</x:v>
      </x:c>
      <x:c r="R75" s="142" t="str">
        <x:v>fallbezogen prüfen</x:v>
      </x:c>
      <x:c r="S75" s="142" t="str">
        <x:v>fallbezogen prüfen</x:v>
      </x:c>
      <x:c r="T75" s="142" t="str">
        <x:v>Phasengrenze</x:v>
      </x:c>
    </x:row>
    <x:row r="76" ht="40" customHeight="1">
      <x:c r="A76" s="141" t="s">
        <x:v>114</x:v>
      </x:c>
      <x:c r="B76" s="142"/>
      <x:c r="C76" s="142"/>
      <x:c r="D76" s="141" t="s">
        <x:v>116</x:v>
      </x:c>
      <x:c r="E76" s="166" t="n">
        <x:v>45798</x:v>
      </x:c>
      <x:c r="F76" s="144" t="n">
        <x:v>46031</x:v>
      </x:c>
      <x:c r="G76" s="145" t="n">
        <x:v>46059</x:v>
      </x:c>
      <x:c r="H76" s="166" t="n">
        <x:v>46234</x:v>
      </x:c>
      <x:c r="I76" s="141" t="s">
        <x:v>29</x:v>
      </x:c>
      <x:c r="J76" s="167" t="s">
        <x:v>9</x:v>
      </x:c>
      <x:c r="K76" s="142" t="str"/>
      <x:c r="L76" s="142" t="str"/>
      <x:c r="M76" s="147" t="str">
        <x:v>ja</x:v>
      </x:c>
      <x:c r="N76" s="147" t="str">
        <x:v>ja</x:v>
      </x:c>
      <x:c r="O76" s="147" t="str">
        <x:v>ja</x:v>
      </x:c>
      <x:c r="P76" s="147" t="str">
        <x:v>ja</x:v>
      </x:c>
      <x:c r="Q76" s="147" t="str">
        <x:v>ja</x:v>
      </x:c>
      <x:c r="R76" s="142" t="str">
        <x:v>fallbezogen prüfen</x:v>
      </x:c>
      <x:c r="S76" s="142" t="str">
        <x:v>fallbezogen prüfen</x:v>
      </x:c>
      <x:c r="T76" s="142" t="str">
        <x:v>Phasengrenze</x:v>
      </x:c>
    </x:row>
    <x:row r="77" ht="40" customHeight="1">
      <x:c r="A77" s="141" t="s">
        <x:v>114</x:v>
      </x:c>
      <x:c r="B77" s="142"/>
      <x:c r="C77" s="142"/>
      <x:c r="D77" s="141" t="s">
        <x:v>117</x:v>
      </x:c>
      <x:c r="E77" s="166" t="n">
        <x:v>45797</x:v>
      </x:c>
      <x:c r="F77" s="144" t="n">
        <x:v>46031</x:v>
      </x:c>
      <x:c r="G77" s="145" t="n">
        <x:v>46087</x:v>
      </x:c>
      <x:c r="H77" s="166" t="n">
        <x:v>46234</x:v>
      </x:c>
      <x:c r="I77" s="141" t="s">
        <x:v>11</x:v>
      </x:c>
      <x:c r="J77" s="167" t="s">
        <x:v>12</x:v>
      </x:c>
      <x:c r="K77" s="142" t="str"/>
      <x:c r="L77" s="142" t="str"/>
      <x:c r="M77" s="147" t="str">
        <x:v>ja</x:v>
      </x:c>
      <x:c r="N77" s="147" t="str">
        <x:v>ja</x:v>
      </x:c>
      <x:c r="O77" s="147" t="str">
        <x:v>ja</x:v>
      </x:c>
      <x:c r="P77" s="147" t="str">
        <x:v>ja</x:v>
      </x:c>
      <x:c r="Q77" s="147" t="str">
        <x:v>ja</x:v>
      </x:c>
      <x:c r="R77" s="142" t="str">
        <x:v>fallbezogen prüfen</x:v>
      </x:c>
      <x:c r="S77" s="142" t="str">
        <x:v>fallbezogen prüfen</x:v>
      </x:c>
      <x:c r="T77" s="142" t="str">
        <x:v>Phasengrenze</x:v>
      </x:c>
    </x:row>
    <x:row r="78" ht="40" customHeight="1">
      <x:c r="A78" s="141" t="s">
        <x:v>114</x:v>
      </x:c>
      <x:c r="B78" s="142"/>
      <x:c r="C78" s="142"/>
      <x:c r="D78" s="141" t="s">
        <x:v>118</x:v>
      </x:c>
      <x:c r="E78" s="166" t="n">
        <x:v>45797</x:v>
      </x:c>
      <x:c r="F78" s="144" t="n">
        <x:v>46031</x:v>
      </x:c>
      <x:c r="G78" s="145" t="n">
        <x:v>46115</x:v>
      </x:c>
      <x:c r="H78" s="166" t="n">
        <x:v>46234</x:v>
      </x:c>
      <x:c r="I78" s="141" t="s">
        <x:v>119</x:v>
      </x:c>
      <x:c r="J78" s="167" t="s">
        <x:v>9</x:v>
      </x:c>
      <x:c r="K78" s="142" t="str"/>
      <x:c r="L78" s="142" t="str"/>
      <x:c r="M78" s="147" t="str">
        <x:v>ja</x:v>
      </x:c>
      <x:c r="N78" s="147" t="str">
        <x:v>ja</x:v>
      </x:c>
      <x:c r="O78" s="147" t="str">
        <x:v>ja</x:v>
      </x:c>
      <x:c r="P78" s="147" t="str">
        <x:v>ja</x:v>
      </x:c>
      <x:c r="Q78" s="147" t="str">
        <x:v>ja</x:v>
      </x:c>
      <x:c r="R78" s="142" t="str">
        <x:v>fallbezogen prüfen</x:v>
      </x:c>
      <x:c r="S78" s="142" t="str">
        <x:v>fallbezogen prüfen</x:v>
      </x:c>
      <x:c r="T78" s="142" t="str">
        <x:v>Phasengrenze</x:v>
      </x:c>
    </x:row>
    <x:row r="79" ht="40" customHeight="1">
      <x:c r="A79" s="141" t="s">
        <x:v>114</x:v>
      </x:c>
      <x:c r="B79" s="142"/>
      <x:c r="C79" s="142"/>
      <x:c r="D79" s="141" t="s">
        <x:v>120</x:v>
      </x:c>
      <x:c r="E79" s="166" t="n">
        <x:v>45798</x:v>
      </x:c>
      <x:c r="F79" s="144" t="n">
        <x:v>46031</x:v>
      </x:c>
      <x:c r="G79" s="145" t="n">
        <x:v>46143</x:v>
      </x:c>
      <x:c r="H79" s="166" t="n">
        <x:v>46234</x:v>
      </x:c>
      <x:c r="I79" s="141" t="s">
        <x:v>101</x:v>
      </x:c>
      <x:c r="J79" s="167" t="s">
        <x:v>12</x:v>
      </x:c>
      <x:c r="K79" s="142" t="str"/>
      <x:c r="L79" s="142" t="str"/>
      <x:c r="M79" s="147" t="str">
        <x:v>ja</x:v>
      </x:c>
      <x:c r="N79" s="147" t="str">
        <x:v>ja</x:v>
      </x:c>
      <x:c r="O79" s="147" t="str">
        <x:v>ja</x:v>
      </x:c>
      <x:c r="P79" s="147" t="str">
        <x:v>ja</x:v>
      </x:c>
      <x:c r="Q79" s="147" t="str">
        <x:v>ja</x:v>
      </x:c>
      <x:c r="R79" s="142" t="str">
        <x:v>fallbezogen prüfen</x:v>
      </x:c>
      <x:c r="S79" s="142" t="str">
        <x:v>fallbezogen prüfen</x:v>
      </x:c>
      <x:c r="T79" s="142" t="str">
        <x:v>Phasengrenze</x:v>
      </x:c>
    </x:row>
    <x:row r="80" s="11" customFormat="1" ht="40" customHeight="1">
      <x:c r="A80" s="148" t="s">
        <x:v>114</x:v>
      </x:c>
      <x:c r="B80" s="157"/>
      <x:c r="C80" s="157"/>
      <x:c r="D80" s="148" t="s">
        <x:v>121</x:v>
      </x:c>
      <x:c r="E80" s="168" t="n">
        <x:v>45796</x:v>
      </x:c>
      <x:c r="F80" s="151" t="n">
        <x:v>46031</x:v>
      </x:c>
      <x:c r="G80" s="159" t="n">
        <x:v>46171</x:v>
      </x:c>
      <x:c r="H80" s="168" t="n">
        <x:v>46234</x:v>
      </x:c>
      <x:c r="I80" s="148" t="s">
        <x:v>24</x:v>
      </x:c>
      <x:c r="J80" s="169" t="s">
        <x:v>12</x:v>
      </x:c>
      <x:c r="K80" s="149" t="str"/>
      <x:c r="L80" s="149" t="str"/>
      <x:c r="M80" s="153" t="str">
        <x:v>ja</x:v>
      </x:c>
      <x:c r="N80" s="153" t="str">
        <x:v>ja</x:v>
      </x:c>
      <x:c r="O80" s="153" t="str">
        <x:v>ja</x:v>
      </x:c>
      <x:c r="P80" s="153" t="str">
        <x:v>ja</x:v>
      </x:c>
      <x:c r="Q80" s="153" t="str">
        <x:v>ja</x:v>
      </x:c>
      <x:c r="R80" s="149" t="str">
        <x:v>fallbezogen prüfen</x:v>
      </x:c>
      <x:c r="S80" s="149" t="str">
        <x:v>fallbezogen prüfen</x:v>
      </x:c>
      <x:c r="T80" s="149" t="str">
        <x:v>Phasengrenze</x:v>
      </x:c>
    </x:row>
  </x:sheetData>
  <x:mergeCells>
    <x:mergeCell ref="B1:C2"/>
  </x:mergeCells>
  <x:conditionalFormatting sqref="E5:E10 G5:H10 G70:G71 E17:E80 E11:H16 G17:H69 G72:H80">
    <x:cfRule type="cellIs" dxfId="24" priority="37" operator="equal">
      <x:formula>"##"</x:formula>
    </x:cfRule>
  </x:conditionalFormatting>
  <x:conditionalFormatting sqref="J45:J45">
    <x:cfRule type="cellIs" dxfId="23" priority="28" operator="equal">
      <x:formula>"##"</x:formula>
    </x:cfRule>
  </x:conditionalFormatting>
  <x:conditionalFormatting sqref="H70:H70">
    <x:cfRule type="cellIs" dxfId="22" priority="27" operator="equal">
      <x:formula>"##"</x:formula>
    </x:cfRule>
  </x:conditionalFormatting>
  <x:conditionalFormatting sqref="H71:H71">
    <x:cfRule type="cellIs" dxfId="21" priority="26" operator="equal">
      <x:formula>"##"</x:formula>
    </x:cfRule>
  </x:conditionalFormatting>
  <x:conditionalFormatting sqref="J51:J51">
    <x:cfRule type="cellIs" dxfId="20" priority="25" operator="equal">
      <x:formula>"##"</x:formula>
    </x:cfRule>
  </x:conditionalFormatting>
  <x:conditionalFormatting sqref="F5:F10">
    <x:cfRule type="cellIs" dxfId="19" priority="24" operator="equal">
      <x:formula>"##"</x:formula>
    </x:cfRule>
  </x:conditionalFormatting>
  <x:conditionalFormatting sqref="F17:F23">
    <x:cfRule type="cellIs" dxfId="18" priority="23" operator="equal">
      <x:formula>"##"</x:formula>
    </x:cfRule>
  </x:conditionalFormatting>
  <x:conditionalFormatting sqref="F24:F29">
    <x:cfRule type="cellIs" dxfId="17" priority="22" operator="equal">
      <x:formula>"##"</x:formula>
    </x:cfRule>
  </x:conditionalFormatting>
  <x:conditionalFormatting sqref="F30:F33">
    <x:cfRule type="cellIs" dxfId="16" priority="21" operator="equal">
      <x:formula>"##"</x:formula>
    </x:cfRule>
  </x:conditionalFormatting>
  <x:conditionalFormatting sqref="F37:F43">
    <x:cfRule type="cellIs" dxfId="15" priority="19" operator="equal">
      <x:formula>"##"</x:formula>
    </x:cfRule>
  </x:conditionalFormatting>
  <x:conditionalFormatting sqref="F44:F45">
    <x:cfRule type="cellIs" dxfId="14" priority="18" operator="equal">
      <x:formula>"##"</x:formula>
    </x:cfRule>
  </x:conditionalFormatting>
  <x:conditionalFormatting sqref="F46:F51">
    <x:cfRule type="cellIs" dxfId="13" priority="17" operator="equal">
      <x:formula>"##"</x:formula>
    </x:cfRule>
  </x:conditionalFormatting>
  <x:conditionalFormatting sqref="F52:F57">
    <x:cfRule type="cellIs" dxfId="12" priority="16" operator="equal">
      <x:formula>"##"</x:formula>
    </x:cfRule>
  </x:conditionalFormatting>
  <x:conditionalFormatting sqref="F58:F63">
    <x:cfRule type="cellIs" dxfId="11" priority="15" operator="equal">
      <x:formula>"##"</x:formula>
    </x:cfRule>
  </x:conditionalFormatting>
  <x:conditionalFormatting sqref="F69:F71">
    <x:cfRule type="cellIs" dxfId="10" priority="12" operator="equal">
      <x:formula>"##"</x:formula>
    </x:cfRule>
  </x:conditionalFormatting>
  <x:conditionalFormatting sqref="F72:F74">
    <x:cfRule type="cellIs" dxfId="9" priority="11" operator="equal">
      <x:formula>"##"</x:formula>
    </x:cfRule>
  </x:conditionalFormatting>
  <x:conditionalFormatting sqref="F75:F80">
    <x:cfRule type="cellIs" dxfId="8" priority="10" operator="equal">
      <x:formula>"##"</x:formula>
    </x:cfRule>
  </x:conditionalFormatting>
  <x:conditionalFormatting sqref="F35:F35">
    <x:cfRule type="cellIs" dxfId="7" priority="8" operator="equal">
      <x:formula>"##"</x:formula>
    </x:cfRule>
  </x:conditionalFormatting>
  <x:conditionalFormatting sqref="F36:F36">
    <x:cfRule type="cellIs" dxfId="6" priority="7" operator="equal">
      <x:formula>"##"</x:formula>
    </x:cfRule>
  </x:conditionalFormatting>
  <x:conditionalFormatting sqref="F34:F34">
    <x:cfRule type="cellIs" dxfId="5" priority="6" operator="equal">
      <x:formula>"##"</x:formula>
    </x:cfRule>
  </x:conditionalFormatting>
  <x:conditionalFormatting sqref="F64:F64">
    <x:cfRule type="cellIs" dxfId="4" priority="5" operator="equal">
      <x:formula>"##"</x:formula>
    </x:cfRule>
  </x:conditionalFormatting>
  <x:conditionalFormatting sqref="F65:F65">
    <x:cfRule type="cellIs" dxfId="3" priority="4" operator="equal">
      <x:formula>"##"</x:formula>
    </x:cfRule>
  </x:conditionalFormatting>
  <x:conditionalFormatting sqref="F66:F66">
    <x:cfRule type="cellIs" dxfId="2" priority="3" operator="equal">
      <x:formula>"##"</x:formula>
    </x:cfRule>
  </x:conditionalFormatting>
  <x:conditionalFormatting sqref="F67:F67">
    <x:cfRule type="cellIs" dxfId="1" priority="2" operator="equal">
      <x:formula>"##"</x:formula>
    </x:cfRule>
  </x:conditionalFormatting>
  <x:conditionalFormatting sqref="F68:F68">
    <x:cfRule type="cellIs" dxfId="0" priority="1" operator="equal">
      <x:formula>"##"</x:formula>
    </x:cfRule>
  </x:conditionalFormatting>
  <x:dataValidations count="3">
    <x:dataValidation type="list" sqref="M5:Q80">
      <x:formula1>"ja,nein"</x:formula1>
    </x:dataValidation>
    <x:dataValidation type="list" sqref="R5:S80">
      <x:formula1>"fallbezogen prüfen,nicht durchgeführt,nicht vorgesehen"</x:formula1>
    </x:dataValidation>
    <x:dataValidation type="list" sqref="T5:T80">
      <x:formula1>"Phasengrenze,Studienende"</x:formula1>
    </x:dataValidation>
  </x:dataValidations>
  <x:pageMargins left="0.7" right="0.7" top="0.75" bottom="0.75" header="0.3" footer="0.3"/>
  <x:legacyDrawing xmlns:r="http://schemas.openxmlformats.org/officeDocument/2006/relationships" r:id="Ra022bf0334ca4437"/>
  <x:tableParts count="1">
    <x:tablePart xmlns:r="http://schemas.openxmlformats.org/officeDocument/2006/relationships" r:id="Rc71ddff3615a4e95"/>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6"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s>
  <x:sheetData>
    <x:row r="1" ht="30" customHeight="1">
      <x:c r="A1" s="184" t="str">
        <x:v>Studien, FAS und fallbezogene Kohortenauswahl</x:v>
      </x:c>
      <x:c r="B1" s="184"/>
      <x:c r="C1" s="184"/>
      <x:c r="D1" s="184"/>
      <x:c r="E1" s="184"/>
      <x:c r="F1" s="184"/>
      <x:c r="G1" s="184"/>
      <x:c r="H1" s="184"/>
    </x:row>
    <x:row r="2" ht="26" customHeight="1">
      <x:c r="A2" s="185" t="str">
        <x:v>Konfigurationsversion</x:v>
      </x:c>
      <x:c r="B2" s="185" t="str">
        <x:v>IP-COHORT-2026-10-28-01</x:v>
      </x:c>
      <x:c r="C2" s="185"/>
      <x:c r="D2" s="185"/>
      <x:c r="E2" s="185"/>
      <x:c r="F2" s="185"/>
      <x:c r="G2" s="185"/>
      <x:c r="H2" s="185"/>
    </x:row>
    <x:row r="3" ht="26" customHeight="1">
      <x:c r="A3" s="182" t="str">
        <x:v>Zeitzone</x:v>
      </x:c>
      <x:c r="B3" s="182" t="str">
        <x:v>Europe/Berlin</x:v>
      </x:c>
      <x:c r="C3" s="182"/>
      <x:c r="D3" s="182"/>
      <x:c r="E3" s="182"/>
      <x:c r="F3" s="182"/>
      <x:c r="G3" s="182"/>
      <x:c r="H3" s="182"/>
    </x:row>
    <x:row r="4" ht="38" customHeight="1">
      <x:c r="A4" s="185" t="str">
        <x:v>Zeitintervall</x:v>
      </x:c>
      <x:c r="B4" s="185" t="str">
        <x:v>[Start einschließlich; Ende ausschließlich). Letzter Studientag vollständig enthalten, technisches Ende am Folgetag 00:00.</x:v>
      </x:c>
      <x:c r="C4" s="185"/>
      <x:c r="D4" s="185"/>
      <x:c r="E4" s="185"/>
      <x:c r="F4" s="185"/>
      <x:c r="G4" s="185"/>
      <x:c r="H4" s="185"/>
    </x:row>
    <x:row r="5" ht="48" customHeight="1">
      <x:c r="A5" s="182" t="str">
        <x:v>Verbindliche Konfiguration</x:v>
      </x:c>
      <x:c r="B5" s="182" t="str">
        <x:v>Stationen Abfrage dataprocessor = Stammdaten und Einschlusskennzeichen. Studienfenster = berechnete Zeitfenster pro Station und Studie. Änderungen an den Stationsparametern aktualisieren die Fenster automatisch.</x:v>
      </x:c>
      <x:c r="C5" s="182"/>
      <x:c r="D5" s="182"/>
      <x:c r="E5" s="182"/>
      <x:c r="F5" s="182"/>
      <x:c r="G5" s="182"/>
      <x:c r="H5" s="182"/>
    </x:row>
    <x:row r="6" ht="38" customHeight="1">
      <x:c r="A6" s="185" t="str">
        <x:v>Keine Einzelfalldaten</x:v>
      </x:c>
      <x:c r="B6" s="185" t="str">
        <x:v>Diese Mappe enthält nur Definitionen und Stationskonfiguration. Kohorten- und FAS-Mitgliedschaft wird mit den lokal verbleibenden Falldaten berechnet.</x:v>
      </x:c>
      <x:c r="C6" s="185"/>
      <x:c r="D6" s="185"/>
      <x:c r="E6" s="185"/>
      <x:c r="F6" s="185"/>
      <x:c r="G6" s="185"/>
      <x:c r="H6" s="185"/>
    </x:row>
    <x:row r="7">
      <x:c r="A7" s="182"/>
      <x:c r="B7" s="182"/>
      <x:c r="C7" s="182"/>
      <x:c r="D7" s="182"/>
      <x:c r="E7" s="182"/>
      <x:c r="F7" s="182"/>
      <x:c r="G7" s="182"/>
      <x:c r="H7" s="182"/>
    </x:row>
    <x:row r="8" ht="30" customHeight="1">
      <x:c r="A8" s="184" t="str">
        <x:v>Studien: Bedeutung, Zeitfenster und zusätzliche Bedingungen</x:v>
      </x:c>
      <x:c r="B8" s="184"/>
      <x:c r="C8" s="184"/>
      <x:c r="D8" s="184"/>
      <x:c r="E8" s="184"/>
      <x:c r="F8" s="184"/>
      <x:c r="G8" s="184"/>
      <x:c r="H8" s="184"/>
    </x:row>
    <x:row r="9" ht="100" customHeight="1">
      <x:c r="A9" s="185" t="str">
        <x:v>BS</x:v>
      </x:c>
      <x:c r="B9" s="185" t="str">
        <x:v>Beobachtungsstudie</x:v>
      </x:c>
      <x:c r="C9" s="185"/>
      <x:c r="D9" s="185" t="str">
        <x:v>Beobachtungsbeginn bis CRS-Zeitgrenze; Bonn bis einschließlich letztem BS-Tag. Essen GASTRO1.MEDG ohne beobachtetes BS-Fenster.</x:v>
      </x:c>
      <x:c r="E9" s="185"/>
      <x:c r="F9" s="185" t="str">
        <x:v>Keine MedA-/MRP-/BC-Pflicht für FAS1. Stationszulassung und die gewählte FAS-Stufe prüfen.</x:v>
      </x:c>
      <x:c r="G9" s="185"/>
      <x:c r="H9" s="185"/>
    </x:row>
    <x:row r="10" ht="100" customHeight="1">
      <x:c r="A10" s="182" t="str">
        <x:v>CRS-A</x:v>
      </x:c>
      <x:c r="B10" s="182" t="str">
        <x:v>Clusterrandomisierte Studie, Phase A</x:v>
      </x:c>
      <x:c r="C10" s="182"/>
      <x:c r="D10" s="182" t="str">
        <x:v>Maximum aus Stationsbeginn und CRS-Zeitgrenze bis Stationswechsel nach B; ggf. früheres Studienende begrenzt das Fenster.</x:v>
      </x:c>
      <x:c r="E10" s="182"/>
      <x:c r="F10" s="182" t="str">
        <x:v>Bonn und HC01/HC07 ausgeschlossen. Keine MedA-/MRP-Pflicht für FAS1.</x:v>
      </x:c>
      <x:c r="G10" s="182"/>
      <x:c r="H10" s="182"/>
    </x:row>
    <x:row r="11" ht="100" customHeight="1">
      <x:c r="A11" s="185" t="str">
        <x:v>CRS-B</x:v>
      </x:c>
      <x:c r="B11" s="185" t="str">
        <x:v>Clusterrandomisierte Studie, Phase B</x:v>
      </x:c>
      <x:c r="C11" s="185"/>
      <x:c r="D11" s="185" t="str">
        <x:v>Maximum aus Stationsbeginn und Phase-B-Zeitgrenze bis einschließlich letztem Studientag. NC01: 29.05.–31.08.2026.</x:v>
      </x:c>
      <x:c r="E11" s="185"/>
      <x:c r="F11" s="185" t="str">
        <x:v>Bonn und HC01/HC07 ausgeschlossen; NC01 eingeschlossen trotz fehlender Apothekerbesetzung/retrolektiver Bewertung.</x:v>
      </x:c>
      <x:c r="G11" s="185"/>
      <x:c r="H11" s="185"/>
    </x:row>
    <x:row r="12" ht="100" customHeight="1">
      <x:c r="A12" s="182" t="str">
        <x:v>RES</x:v>
      </x:c>
      <x:c r="B12" s="182" t="str">
        <x:v>Relevance Evaluation Study</x:v>
      </x:c>
      <x:c r="C12" s="182"/>
      <x:c r="D12" s="182" t="str">
        <x:v>Konfiguriertes Phase-B-Zeitfenster, auch für HC01/HC07 ohne CRS-Teilnahme. Bonn nicht anwendbar.</x:v>
      </x:c>
      <x:c r="E12" s="182"/>
      <x:c r="F12" s="182" t="str">
        <x:v>Anwendbarer gültiger BC ohne wirksamen Widerruf UND vorliegendes retrolektives algorithmisches MRP. Kein Filter nur auf positive Relevanzbewertung. Fehlende Erhebung nicht als MRP-Freiheit deuten.</x:v>
      </x:c>
      <x:c r="G12" s="182"/>
      <x:c r="H12" s="182"/>
    </x:row>
    <x:row r="13" ht="100" customHeight="1">
      <x:c r="A13" s="185" t="str">
        <x:v>TRS</x:v>
      </x:c>
      <x:c r="B13" s="185" t="str">
        <x:v>Trajectory Research Study</x:v>
      </x:c>
      <x:c r="C13" s="185"/>
      <x:c r="D13" s="185" t="str">
        <x:v>Gesamte konfigurierte BS-/CRS-Zeitachse der Station. In Bonn nur BS. HC01/HC07 einschließlich der für sie ausgeschlossenen CRS-Zeit.</x:v>
      </x:c>
      <x:c r="E13" s="185"/>
      <x:c r="F13" s="185" t="str">
        <x:v>Anwendbarer gültiger BC ohne wirksamen Widerruf; weder MedA noch MRP vorausgesetzt. Kein zusätzliches historisches Zeitfenster in diesem Ticket.</x:v>
      </x:c>
      <x:c r="G13" s="185"/>
      <x:c r="H13" s="185"/>
    </x:row>
    <x:row r="14">
      <x:c r="A14" s="182"/>
      <x:c r="B14" s="182"/>
      <x:c r="C14" s="182"/>
      <x:c r="D14" s="182"/>
      <x:c r="E14" s="182"/>
      <x:c r="F14" s="182"/>
      <x:c r="G14" s="182"/>
      <x:c r="H14" s="182"/>
    </x:row>
    <x:row r="15" ht="30" customHeight="1">
      <x:c r="A15" s="184" t="str">
        <x:v>FAS: FAS3 ⊆ FAS2.2 ⊆ FAS2.1 ⊆ FAS1</x:v>
      </x:c>
      <x:c r="B15" s="184"/>
      <x:c r="C15" s="184"/>
      <x:c r="D15" s="184"/>
      <x:c r="E15" s="184"/>
      <x:c r="F15" s="184"/>
      <x:c r="G15" s="184"/>
      <x:c r="H15" s="184"/>
    </x:row>
    <x:row r="16" ht="88" customHeight="1">
      <x:c r="A16" s="185" t="str">
        <x:v>FAS1</x:v>
      </x:c>
      <x:c r="B16" s="185" t="str">
        <x:v>Stationärer Krankenhausfall; Alter bei Krankenhausaufnahme ≥18 Jahre; erste IP-Aufnahme auf einer für die Studie zugelassenen Station im gültigen Studienfenster; Zusatzfilter RES/TRS erfüllt.</x:v>
      </x:c>
      <x:c r="C16" s="185"/>
      <x:c r="D16" s="185"/>
      <x:c r="E16" s="185"/>
      <x:c r="F16" s="185" t="str">
        <x:v>Keine MedA-/MRP-Pflicht in BS/CRS/TRS. Fehlende oder unklare Grundmerkmale separat als nicht bestimmbar ausweisen.</x:v>
      </x:c>
      <x:c r="G16" s="185"/>
      <x:c r="H16" s="185"/>
    </x:row>
    <x:row r="17" ht="88" customHeight="1">
      <x:c r="A17" s="182" t="str">
        <x:v>FAS2.1</x:v>
      </x:c>
      <x:c r="B17" s="182" t="str">
        <x:v>FAS1 UND (Sollfrist t0 + sieben Tage im Krankenhausfall erreicht ODER früher abgeschlossene MedA). Bis spätestens zu dieser Frist muss eine MedA erfolgt sein; t0 ist die erste IP-Aufnahme.</x:v>
      </x:c>
      <x:c r="C17" s="182"/>
      <x:c r="D17" s="182"/>
      <x:c r="E17" s="182"/>
      <x:c r="F17" s="182" t="str">
        <x:v>Sollpopulation: fehlende MedA entfernt einen fälligen Fall nicht. Verlegung/Rückkehr startet die Frist nicht neu. Frühere abgeschlossene MedA zählt auch bei Aufenthalt unter sieben Tagen.</x:v>
      </x:c>
      <x:c r="G17" s="182"/>
      <x:c r="H17" s="182"/>
    </x:row>
    <x:row r="18" ht="88" customHeight="1">
      <x:c r="A18" s="185" t="str">
        <x:v>FAS2.2</x:v>
      </x:c>
      <x:c r="B18" s="185" t="str">
        <x:v>FAS2.1 UND mindestens eine tatsächlich durchgeführte, fachlich abgeschlossene und dokumentierte MedA im Krankenhausfall.</x:v>
      </x:c>
      <x:c r="C18" s="185"/>
      <x:c r="D18" s="185"/>
      <x:c r="E18" s="185"/>
      <x:c r="F18" s="185" t="str">
        <x:v>Verspätete MedA bleibt eingeschlossen, Fristeinhaltung separat. Nur angelegt/Entwurf/unvollständig genügt nicht. Fehlender Durchführungszeitpunkt macht die Fristeinhaltung unbekannt, nicht automatisch den Abschlussstatus.</x:v>
      </x:c>
      <x:c r="G18" s="185"/>
      <x:c r="H18" s="185"/>
    </x:row>
    <x:row r="19" ht="88" customHeight="1">
      <x:c r="A19" s="182" t="str">
        <x:v>FAS3</x:v>
      </x:c>
      <x:c r="B19" s="182" t="str">
        <x:v>FAS2.2 UND mindestens ein dokumentiertes MRP mit beurteilbarem Lösungsstatus.</x:v>
      </x:c>
      <x:c r="C19" s="182"/>
      <x:c r="D19" s="182"/>
      <x:c r="E19" s="182"/>
      <x:c r="F19" s="182" t="str">
        <x:v>Beurteilbar und ungelöst ist zulässig; gelöst ist keine Einschlussbedingung. Fehlender Lösungsstatus ist nicht „ungelöst“. Ein unbewertetes Algorithmus-Finding allein genügt nicht.</x:v>
      </x:c>
      <x:c r="G19" s="182"/>
      <x:c r="H19" s="182"/>
    </x:row>
    <x:row r="20" ht="53" customHeight="1">
      <x:c r="A20" s="185" t="str">
        <x:v>FAS2 / BC</x:v>
      </x:c>
      <x:c r="B20" s="185" t="str">
        <x:v>FAS2 ist der Oberbegriff für 2.1 und 2.2. BC ist ein eigenständiges Consent-Merkmal und Studienfilter, keine zusätzliche Stufe der FAS-Kette.</x:v>
      </x:c>
      <x:c r="C20" s="185"/>
      <x:c r="D20" s="185"/>
      <x:c r="E20" s="185"/>
      <x:c r="F20" s="185"/>
      <x:c r="G20" s="185"/>
      <x:c r="H20" s="185"/>
    </x:row>
    <x:row r="21">
      <x:c r="A21" s="182"/>
      <x:c r="B21" s="182"/>
      <x:c r="C21" s="182"/>
      <x:c r="D21" s="182"/>
      <x:c r="E21" s="182"/>
      <x:c r="F21" s="182"/>
      <x:c r="G21" s="182"/>
      <x:c r="H21" s="182"/>
    </x:row>
    <x:row r="22" ht="30" customHeight="1">
      <x:c r="A22" s="184" t="str">
        <x:v>Fallbezug und Auswahlregeln</x:v>
      </x:c>
      <x:c r="B22" s="184"/>
      <x:c r="C22" s="184"/>
      <x:c r="D22" s="184"/>
      <x:c r="E22" s="184"/>
      <x:c r="F22" s="184"/>
      <x:c r="G22" s="184"/>
      <x:c r="H22" s="184"/>
    </x:row>
    <x:row r="23" ht="58" customHeight="1">
      <x:c r="A23" s="182" t="str">
        <x:v>Kohortenschlüssel</x:v>
      </x:c>
      <x:c r="B23" s="182" t="str">
        <x:v>Standort × erste IP-Station bzw. Standortgesamt × Studie × FAS × Konfigurationsversion. Vier FAS-Stufen und fünf Studien ergeben 20 angeforderte Sichten pro Station, einschließlich begründet nicht anwendbarer/leerer Sichten.</x:v>
      </x:c>
      <x:c r="C23" s="182"/>
      <x:c r="D23" s="182"/>
      <x:c r="E23" s="182"/>
      <x:c r="F23" s="182"/>
      <x:c r="G23" s="182"/>
      <x:c r="H23" s="182"/>
    </x:row>
    <x:row r="24" ht="58" customHeight="1">
      <x:c r="A24" s="185" t="str">
        <x:v>Kohortenauswahl</x:v>
      </x:c>
      <x:c r="B24" s="185" t="str">
        <x:v>Fallgrundlage UND Stationszulassung UND gültiges Zeitfenster mit erstem IP-Eintritt darin UND Studienzusatzfilter UND FAS-Bedingungen. RES/TRS nicht aus einer vorher auf CRS-Teilnehmer begrenzten Fallliste erzeugen.</x:v>
      </x:c>
      <x:c r="C24" s="185"/>
      <x:c r="D24" s="185"/>
      <x:c r="E24" s="185"/>
      <x:c r="F24" s="185"/>
      <x:c r="G24" s="185"/>
      <x:c r="H24" s="185"/>
    </x:row>
    <x:row r="25" ht="58" customHeight="1">
      <x:c r="A25" s="182" t="str">
        <x:v>Fall / Person</x:v>
      </x:c>
      <x:c r="B25" s="182" t="str">
        <x:v>Ein Krankenhausaufenthalt = ein Fall. Wiederaufnahme = neuer Fall derselben lokal verknüpften Person. Verlegung/Rückkehr = weiterer Stationsaufenthalt im selben Fall.</x:v>
      </x:c>
      <x:c r="C25" s="182"/>
      <x:c r="D25" s="182"/>
      <x:c r="E25" s="182"/>
      <x:c r="F25" s="182"/>
      <x:c r="G25" s="182"/>
      <x:c r="H25" s="182"/>
    </x:row>
    <x:row r="26" ht="58" customHeight="1">
      <x:c r="A26" s="185" t="str">
        <x:v>Kohortenstation / t0</x:v>
      </x:c>
      <x:c r="B26" s="185" t="str">
        <x:v>Erster IP-Kontakt des Krankenhausfalls über die Stationsliste bestimmen. Diese Station und dessen Eintrittszeitpunkt t0 bleiben für alle Sichten fest. Bei Nichtzulassung keinen späteren Kontakt wählen, um den Fall passend zu machen. Gleichzeitige widersprüchliche Erstkontakte lokal klären.</x:v>
      </x:c>
      <x:c r="C26" s="185"/>
      <x:c r="D26" s="185"/>
      <x:c r="E26" s="185"/>
      <x:c r="F26" s="185"/>
      <x:c r="G26" s="185"/>
      <x:c r="H26" s="185"/>
    </x:row>
    <x:row r="27" ht="58" customHeight="1">
      <x:c r="A27" s="182" t="str">
        <x:v>Zeitgrenzen</x:v>
      </x:c>
      <x:c r="B27" s="182" t="str">
        <x:v>Europe/Berlin. Aufnahmefenster [Start einschließlich; Ende ausschließlich). Abschließender Studientag zählt vollständig; technisches Ende am Folgetag 00:00. Zeitachse und Studienzulassung bleiben separate Felder.</x:v>
      </x:c>
      <x:c r="C27" s="182"/>
      <x:c r="D27" s="182"/>
      <x:c r="E27" s="182"/>
      <x:c r="F27" s="182"/>
      <x:c r="G27" s="182"/>
      <x:c r="H27" s="182"/>
    </x:row>
    <x:row r="28" ht="58" customHeight="1">
      <x:c r="A28" s="185" t="str">
        <x:v>MedA-Sollfrist</x:v>
      </x:c>
      <x:c r="B28" s="185" t="str">
        <x:v>t7 = t0 + sieben Tage, ohne Rundung auf ein Kalenderdatum. Der erste IP-Aufnahmezeitpunkt ist maßgeblich, nicht Krankenhausaufnahme, spätere Verlegung oder Datenimport.</x:v>
      </x:c>
      <x:c r="C28" s="185"/>
      <x:c r="D28" s="185"/>
      <x:c r="E28" s="185"/>
      <x:c r="F28" s="185"/>
      <x:c r="G28" s="185"/>
      <x:c r="H28" s="185"/>
    </x:row>
    <x:row r="29" ht="58" customHeight="1">
      <x:c r="A29" s="182" t="str">
        <x:v>Sollfrist erreicht</x:v>
      </x:c>
      <x:c r="B29" s="182" t="str">
        <x:v>Im beobachteten Krankenhausfall t7 erreicht; alternativ frühere abgeschlossene MedA. Entlassung vor t7 ohne MedA: Frist nicht erreicht. Noch laufender Fall vor t7: endgültige Zuordnung vorläufig/nicht bestimmbar. Fehlende Nachbeobachtung nicht als Nichterfüllung werten.</x:v>
      </x:c>
      <x:c r="C29" s="182"/>
      <x:c r="D29" s="182"/>
      <x:c r="E29" s="182"/>
      <x:c r="F29" s="182"/>
      <x:c r="G29" s="182"/>
      <x:c r="H29" s="182"/>
    </x:row>
    <x:row r="30" ht="58" customHeight="1">
      <x:c r="A30" s="185" t="str">
        <x:v>MedA-Zähleinheit</x:v>
      </x:c>
      <x:c r="B30" s="185" t="str">
        <x:v>Alle abgeschlossenen fachlichen MedA je Krankenhausfall einmal zählen; technische Versionen nicht erneut zählen. Zeit-/Stationsgruppen und MRP-Abgleich verwenden die erste fachliche MedA. Eine spätere abgeschlossene MedA kann FAS2.2 belegen, ersetzt aber keine unvollständige erste MedA im MRP-Abgleich.</x:v>
      </x:c>
      <x:c r="C30" s="185"/>
      <x:c r="D30" s="185"/>
      <x:c r="E30" s="185"/>
      <x:c r="F30" s="185"/>
      <x:c r="G30" s="185"/>
      <x:c r="H30" s="185"/>
    </x:row>
    <x:row r="31" ht="58" customHeight="1">
      <x:c r="A31" s="182" t="str">
        <x:v>MedA-Status</x:v>
      </x:c>
      <x:c r="B31" s="182" t="str">
        <x:v>Mit MedA: mindestens eine angelegte und abgeschlossene MedA. Ohne MedA: keine angelegt bei bestätigter Abdeckung. Unbekannt: angelegt, aber keine abgeschlossen, oder nicht ausreichend belegte Abdeckung.</x:v>
      </x:c>
      <x:c r="C31" s="182"/>
      <x:c r="D31" s="182"/>
      <x:c r="E31" s="182"/>
      <x:c r="F31" s="182"/>
      <x:c r="G31" s="182"/>
      <x:c r="H31" s="182"/>
    </x:row>
    <x:row r="32" ht="58" customHeight="1">
      <x:c r="A32" s="185" t="str">
        <x:v>MRP in FAS3</x:v>
      </x:c>
      <x:c r="B32" s="185" t="str">
        <x:v>Dokumentiertes MRP und beurteilbarer Lösungsstatus erforderlich. Klinische Relevanzbewertung und Lösungsbewertung sind unterschiedliche Merkmale. Fehlende Bewertung, beobachtet ungelöst und beobachtet gelöst getrennt führen.</x:v>
      </x:c>
      <x:c r="C32" s="185"/>
      <x:c r="D32" s="185"/>
      <x:c r="E32" s="185"/>
      <x:c r="F32" s="185"/>
      <x:c r="G32" s="185"/>
      <x:c r="H32" s="185"/>
    </x:row>
    <x:row r="33" ht="58" customHeight="1">
      <x:c r="A33" s="182" t="str">
        <x:v>BC / RES-Finding</x:v>
      </x:c>
      <x:c r="B33" s="182" t="str">
        <x:v>Gültigkeit, Anwendbarkeit, Zuordnung und wirksamen Widerruf lokal prüfen. Unbekannter BC berechtigt nicht zum Einschluss. RES-Finding muss als retrolektives algorithmisches MRP belegt sein; reine Modellberechnung ohne entsprechende Quellzuordnung nicht stillschweigend gleichsetzen.</x:v>
      </x:c>
      <x:c r="C33" s="182"/>
      <x:c r="D33" s="182"/>
      <x:c r="E33" s="182"/>
      <x:c r="F33" s="182"/>
      <x:c r="G33" s="182"/>
      <x:c r="H33" s="182"/>
    </x:row>
    <x:row r="34" ht="58" customHeight="1">
      <x:c r="A34" s="185" t="str">
        <x:v>Unbekannte Information</x:v>
      </x:c>
      <x:c r="B34" s="185" t="str">
        <x:v>Ja/nein/unbekannt unterscheiden; nicht anwendbar für strukturell ausgeschlossene Studien. Echte Null nur bei bestätigter Abdeckung. NC01 ohne retrolektive Erhebung ist kein Nachweis klinischer MRP-Freiheit.</x:v>
      </x:c>
      <x:c r="C34" s="185"/>
      <x:c r="D34" s="185"/>
      <x:c r="E34" s="185"/>
      <x:c r="F34" s="185"/>
      <x:c r="G34" s="185"/>
      <x:c r="H34" s="185"/>
    </x:row>
    <x:row r="35" ht="58" customHeight="1">
      <x:c r="A35" s="182" t="str">
        <x:v>Offene Krankenhausfälle</x:v>
      </x:c>
      <x:c r="B35" s="182" t="str">
        <x:v>Zugehörigkeit behalten, Merkmale als vorläufig/unvollständig kennzeichnen. Vollständige Aufenthaltsprofile erst nach Abschluss und bestätigter Datenabdeckung auswerten.</x:v>
      </x:c>
      <x:c r="C35" s="182"/>
      <x:c r="D35" s="182"/>
      <x:c r="E35" s="182"/>
      <x:c r="F35" s="182"/>
      <x:c r="G35" s="182"/>
      <x:c r="H35" s="182"/>
    </x:row>
    <x:row r="36" ht="58" customHeight="1">
      <x:c r="A36" s="185" t="str">
        <x:v>Klinische Nachbeobachtung</x:v>
      </x:c>
      <x:c r="B36" s="185" t="str">
        <x:v>Studienende betrifft Einschluss, nicht automatisch das klinische Profil. CRS: bis Entlassung, längstens einschließlich 15.11.2026. Den klinischen Datenstichtag je Auswertung und die Lieferabdeckung separat führen. Fehlende Vorgaben für andere Sichten nicht aus Stations-Enddaten erfinden.</x:v>
      </x:c>
      <x:c r="C36" s="185"/>
      <x:c r="D36" s="185"/>
      <x:c r="E36" s="185"/>
      <x:c r="F36" s="185"/>
      <x:c r="G36" s="185"/>
      <x:c r="H36" s="185"/>
    </x:row>
    <x:row r="37" ht="58" customHeight="1">
      <x:c r="A37" s="182" t="str">
        <x:v>Retrolektive Bewertung</x:v>
      </x:c>
      <x:c r="B37" s="182" t="str">
        <x:v>Der dokumentierte Bewertungszeitpunkt kann nach der Entlassung liegen (Protokoll: 14–30 Tage). Er verändert weder Kohortenstation noch Einschlussphase.</x:v>
      </x:c>
      <x:c r="C37" s="182"/>
      <x:c r="D37" s="182"/>
      <x:c r="E37" s="182"/>
      <x:c r="F37" s="182"/>
      <x:c r="G37" s="182"/>
      <x:c r="H37" s="182"/>
    </x:row>
    <x:row r="38" ht="58" customHeight="1">
      <x:c r="A38" s="185" t="str">
        <x:v>Studiendauer / Klinikdauer</x:v>
      </x:c>
      <x:c r="B38" s="185" t="str">
        <x:v>Studiendauer = konfiguriertes Ende minus Beginn in Tagen. Krankenhausverweildauer und Zeit bis MedA sind andere Merkmale. Standortgesamtspanne ist keine gemeinsame Beobachtungsdauer aller Stationen.</x:v>
      </x:c>
      <x:c r="C38" s="185"/>
      <x:c r="D38" s="185"/>
      <x:c r="E38" s="185"/>
      <x:c r="F38" s="185"/>
      <x:c r="G38" s="185"/>
      <x:c r="H38" s="185"/>
    </x:row>
    <x:row r="39" ht="58" customHeight="1">
      <x:c r="A39" s="182" t="str">
        <x:v>Kohortentabelle / Profiling</x:v>
      </x:c>
      <x:c r="B39" s="182" t="str">
        <x:v>Alle Merkmalszeilen der lokalen v04-Tabelle beschreiben Fälle. Unterschiedliche passende LOINC-Codes je Fall zählen; normale und auffällige Befunde können im Aufenthalt überlappen. Ereignishäufigkeiten und MRP-Verläufe gehören zu #1298/#1467.</x:v>
      </x:c>
      <x:c r="C39" s="182"/>
      <x:c r="D39" s="182"/>
      <x:c r="E39" s="182"/>
      <x:c r="F39" s="182"/>
      <x:c r="G39" s="182"/>
      <x:c r="H39" s="182"/>
    </x:row>
    <x:row r="40" ht="58" customHeight="1">
      <x:c r="A40" s="185" t="str">
        <x:v>Standortgesamt / zentrale Sicht</x:v>
      </x:c>
      <x:c r="B40" s="185" t="str">
        <x:v>Standortgesamt aus lokalen Fällen deduplizieren; nicht FAS-/Studiengruppen addieren. Personen nur lokal eindeutig zählen. Zentrale Ausleitung ausschließlich freigegebener Aggregate, ohne Fall-/Personenkennungen oder individuelle Verläufe.</x:v>
      </x:c>
      <x:c r="C40" s="185"/>
      <x:c r="D40" s="185"/>
      <x:c r="E40" s="185"/>
      <x:c r="F40" s="185"/>
      <x:c r="G40" s="185"/>
      <x:c r="H40" s="185"/>
    </x:row>
    <x:row r="41">
      <x:c r="A41" s="182"/>
      <x:c r="B41" s="182"/>
      <x:c r="C41" s="182"/>
      <x:c r="D41" s="182"/>
      <x:c r="E41" s="182"/>
      <x:c r="F41" s="182"/>
      <x:c r="G41" s="182"/>
      <x:c r="H41" s="182"/>
    </x:row>
    <x:row r="42" ht="30" customHeight="1">
      <x:c r="A42" s="184" t="str">
        <x:v>Verteilte Analyse und Ergebnisdateien</x:v>
      </x:c>
      <x:c r="B42" s="184"/>
      <x:c r="C42" s="184"/>
      <x:c r="D42" s="184"/>
      <x:c r="E42" s="184"/>
      <x:c r="F42" s="184"/>
      <x:c r="G42" s="184"/>
      <x:c r="H42" s="184"/>
    </x:row>
    <x:row r="43" ht="53" customHeight="1">
      <x:c r="A43" s="182" t="str">
        <x:v>outputLocal</x:v>
      </x:c>
      <x:c r="B43" s="182" t="str">
        <x:v>Fallbasis je Krankenhausfall und Zuordnung je Fall × Studie mit FAS-Status/Gründen; lokale Excel-Kohortenbeschreibung nach v04. Fall- und Personenschlüssel sowie individuelle Zeitpunkte bleiben am Standort.</x:v>
      </x:c>
      <x:c r="C43" s="182"/>
      <x:c r="D43" s="182"/>
      <x:c r="E43" s="182"/>
      <x:c r="F43" s="182"/>
      <x:c r="G43" s="182"/>
      <x:c r="H43" s="182"/>
    </x:row>
    <x:row r="44" ht="53" customHeight="1">
      <x:c r="A44" s="185" t="str">
        <x:v>outputGlobal</x:v>
      </x:c>
      <x:c r="B44" s="185" t="str">
        <x:v>Nur freigegebene Aggregate je Standort × Kohortenstation/Standortgesamt × Studie × FAS × Merkmal/Untergruppe. Zähler, Nenner, fehlende Angaben und zulässige Kennzahlen mit Konfigurationsversion. Keine Fall-/Personenkennungen, individuellen Verläufe oder lokalen Extremwerte.</x:v>
      </x:c>
      <x:c r="C44" s="185"/>
      <x:c r="D44" s="185"/>
      <x:c r="E44" s="185"/>
      <x:c r="F44" s="185"/>
      <x:c r="G44" s="185"/>
      <x:c r="H44" s="185"/>
    </x:row>
    <x:row r="45" ht="53" customHeight="1">
      <x:c r="A45" s="182" t="str">
        <x:v>Lokale Kennzahlen</x:v>
      </x:c>
      <x:c r="B45" s="182" t="str">
        <x:v>Gemäß x/– in der lokalen v04: Missing, N/n, Anteil und vorgegebene KI, Median/Q1/Q3 (Typ 7), Mittelwert, Stichproben-SD; Min/Max nur lokal. Untergruppenbezug vor Berechnung prüfen.</x:v>
      </x:c>
      <x:c r="C45" s="182"/>
      <x:c r="D45" s="182"/>
      <x:c r="E45" s="182"/>
      <x:c r="F45" s="182"/>
      <x:c r="G45" s="182"/>
      <x:c r="H45" s="182"/>
    </x:row>
    <x:row r="46" ht="53" customHeight="1">
      <x:c r="A46" s="185" t="str">
        <x:v>Zentrale Zusammenfassung</x:v>
      </x:c>
      <x:c r="B46" s="185" t="str">
        <x:v>Freigegebene disjunkte Zähler/Nenner zusammenführen; Mittelwerte mit N gewichten, SD aus N/Mittelwert/SD kombinieren. Mediane nicht mitteln. Separate SAP-Metaanalyse der Standortmediane gemäß bestehendem Methodenbeschluss; Stationen eines Standorts nicht als unabhängige Studien behandeln.</x:v>
      </x:c>
      <x:c r="C46" s="185"/>
      <x:c r="D46" s="185"/>
      <x:c r="E46" s="185"/>
      <x:c r="F46" s="185"/>
      <x:c r="G46" s="185"/>
      <x:c r="H46" s="185"/>
    </x:row>
    <x:row r="47" ht="53" customHeight="1">
      <x:c r="A47" s="182" t="str">
        <x:v>Noch zu konfigurieren</x:v>
      </x:c>
      <x:c r="B47" s="182" t="str">
        <x:v>Lokale FHIR-/CDS-HUB-Quellfelder, eindeutige Stations-/Fallverknüpfung, Lieferabdeckung und klinische Datenstichtage. Die bestätigten Stations- und FAS-Definitionen werden dadurch nicht erneut geöffnet.</x:v>
      </x:c>
      <x:c r="C47" s="182"/>
      <x:c r="D47" s="182"/>
      <x:c r="E47" s="182"/>
      <x:c r="F47" s="182"/>
      <x:c r="G47" s="182"/>
      <x:c r="H47" s="182"/>
    </x:row>
    <x:row r="48">
      <x:c r="A48" s="182"/>
      <x:c r="B48" s="182"/>
      <x:c r="C48" s="182"/>
      <x:c r="D48" s="182"/>
      <x:c r="E48" s="182"/>
      <x:c r="F48" s="182"/>
      <x:c r="G48" s="182"/>
      <x:c r="H48" s="182"/>
    </x:row>
    <x:row r="49" ht="30" customHeight="1">
      <x:c r="A49" s="184" t="str">
        <x:v>Synthetische Beispiele für die Abnahme</x:v>
      </x:c>
      <x:c r="B49" s="184"/>
      <x:c r="C49" s="184"/>
      <x:c r="D49" s="184"/>
      <x:c r="E49" s="184"/>
      <x:c r="F49" s="184"/>
      <x:c r="G49" s="184"/>
      <x:c r="H49" s="184"/>
    </x:row>
    <x:row r="50" ht="72" customHeight="1">
      <x:c r="A50" s="185" t="str">
        <x:v>01</x:v>
      </x:c>
      <x:c r="B50" s="185" t="str">
        <x:v>Bonn Hufeland, Eintritt 30.06.2026 um 23:00.</x:v>
      </x:c>
      <x:c r="C50" s="185"/>
      <x:c r="D50" s="185"/>
      <x:c r="E50" s="185" t="str">
        <x:v>BS im Fenster; TRS bei gültigem BC. CRS-A/B und RES nicht anwendbar. Eintritt am 01.07.2026 um 00:00 außerhalb.</x:v>
      </x:c>
      <x:c r="F50" s="185"/>
      <x:c r="G50" s="185"/>
      <x:c r="H50" s="185"/>
    </x:row>
    <x:row r="51" ht="72" customHeight="1">
      <x:c r="A51" s="182" t="str">
        <x:v>02</x:v>
      </x:c>
      <x:c r="B51" s="182" t="str">
        <x:v>Essen GASTRO1.MEDG, Eintritt 22.04.2026 um 00:00.</x:v>
      </x:c>
      <x:c r="C51" s="182"/>
      <x:c r="D51" s="182"/>
      <x:c r="E51" s="182" t="str">
        <x:v>CRS-A im Fenster; keine beobachtete BS. TRS bei BC. Vor diesem Zeitpunkt kein beobachteter Einschluss.</x:v>
      </x:c>
      <x:c r="F51" s="182"/>
      <x:c r="G51" s="182"/>
      <x:c r="H51" s="182"/>
    </x:row>
    <x:row r="52" ht="72" customHeight="1">
      <x:c r="A52" s="185" t="str">
        <x:v>03</x:v>
      </x:c>
      <x:c r="B52" s="185" t="str">
        <x:v>Essen GASTRO1.MEDG, Eintritt 19.06.2026 um 00:00.</x:v>
      </x:c>
      <x:c r="C52" s="185"/>
      <x:c r="D52" s="185"/>
      <x:c r="E52" s="185" t="str">
        <x:v>CRS-B, nicht CRS-A; RES nur zusätzlich bei BC und belegtem retrolektivem Finding.</x:v>
      </x:c>
      <x:c r="F52" s="185"/>
      <x:c r="G52" s="185"/>
      <x:c r="H52" s="185"/>
    </x:row>
    <x:row r="53" ht="72" customHeight="1">
      <x:c r="A53" s="182" t="str">
        <x:v>04</x:v>
      </x:c>
      <x:c r="B53" s="182" t="str">
        <x:v>HC01/HC07, Eintritt 01.05.2026.</x:v>
      </x:c>
      <x:c r="C53" s="182"/>
      <x:c r="D53" s="182"/>
      <x:c r="E53" s="182" t="str">
        <x:v>RES-Zeitfenster und TRS; zusätzliche Filter prüfen. CRS-A/B nicht anwendbar. Keine automatische Umbenennung zu HC06.</x:v>
      </x:c>
      <x:c r="F53" s="182"/>
      <x:c r="G53" s="182"/>
      <x:c r="H53" s="182"/>
    </x:row>
    <x:row r="54" ht="72" customHeight="1">
      <x:c r="A54" s="185" t="str">
        <x:v>05</x:v>
      </x:c>
      <x:c r="B54" s="185" t="str">
        <x:v>NC01, Eintritt 29.05.2026; keine MedA/Bewertung vor Ort.</x:v>
      </x:c>
      <x:c r="C54" s="185"/>
      <x:c r="D54" s="185"/>
      <x:c r="E54" s="185" t="str">
        <x:v>CRS-B-FAS1 möglich. Fehlende MedA/Bewertung entfernt den Fall nicht aus FAS1. RES mangels Erhebung nicht als klinisch negative Kohorte berichten.</x:v>
      </x:c>
      <x:c r="F54" s="185"/>
      <x:c r="G54" s="185"/>
      <x:c r="H54" s="185"/>
    </x:row>
    <x:row r="55" ht="72" customHeight="1">
      <x:c r="A55" s="182" t="str">
        <x:v>06</x:v>
      </x:c>
      <x:c r="B55" s="182" t="str">
        <x:v>Erwachsener Fall, zehn Tage seit t0, keine MedA, Abdeckung bestätigt.</x:v>
      </x:c>
      <x:c r="C55" s="182"/>
      <x:c r="D55" s="182"/>
      <x:c r="E55" s="182" t="str">
        <x:v>FAS1 und FAS2.1 ja; FAS2.2 und FAS3 nein. Die Sollpopulation darf nicht durch den Durchführungsfilter verkleinert werden.</x:v>
      </x:c>
      <x:c r="F55" s="182"/>
      <x:c r="G55" s="182"/>
      <x:c r="H55" s="182"/>
    </x:row>
    <x:row r="56" ht="72" customHeight="1">
      <x:c r="A56" s="185" t="str">
        <x:v>07</x:v>
      </x:c>
      <x:c r="B56" s="185" t="str">
        <x:v>Abgeschlossene dokumentierte MedA an Tag 3; Entlassung Tag 4.</x:v>
      </x:c>
      <x:c r="C56" s="185"/>
      <x:c r="D56" s="185"/>
      <x:c r="E56" s="185" t="str">
        <x:v>FAS2.1 und FAS2.2 ja. Frühe MedA zählt trotz kurzer Aufenthaltsdauer.</x:v>
      </x:c>
      <x:c r="F56" s="185"/>
      <x:c r="G56" s="185"/>
      <x:c r="H56" s="185"/>
    </x:row>
    <x:row r="57" ht="72" customHeight="1">
      <x:c r="A57" s="182" t="str">
        <x:v>08</x:v>
      </x:c>
      <x:c r="B57" s="182" t="str">
        <x:v>Abgeschlossene dokumentierte MedA an Tag 8.</x:v>
      </x:c>
      <x:c r="C57" s="182"/>
      <x:c r="D57" s="182"/>
      <x:c r="E57" s="182" t="str">
        <x:v>FAS2.1 und FAS2.2 ja; MedA-Sollfrist verfehlt. Keine zusätzliche Siebentages-Ausschlussregel in FAS2.2.</x:v>
      </x:c>
      <x:c r="F57" s="182"/>
      <x:c r="G57" s="182"/>
      <x:c r="H57" s="182"/>
    </x:row>
    <x:row r="58" ht="72" customHeight="1">
      <x:c r="A58" s="185" t="str">
        <x:v>09</x:v>
      </x:c>
      <x:c r="B58" s="185" t="str">
        <x:v>Erste MedA unvollständig, spätere MedA abgeschlossen.</x:v>
      </x:c>
      <x:c r="C58" s="185"/>
      <x:c r="D58" s="185"/>
      <x:c r="E58" s="185" t="str">
        <x:v>FAS2.2 bei erfülltem FAS2.1 möglich. Für den MRP-Abgleich ersetzt die spätere MedA die erste nicht.</x:v>
      </x:c>
      <x:c r="F58" s="185"/>
      <x:c r="G58" s="185"/>
      <x:c r="H58" s="185"/>
    </x:row>
    <x:row r="59" ht="72" customHeight="1">
      <x:c r="A59" s="182" t="str">
        <x:v>10</x:v>
      </x:c>
      <x:c r="B59" s="182" t="str">
        <x:v>Verlegung an Tag 2, Rückkehr an Tag 5.</x:v>
      </x:c>
      <x:c r="C59" s="182"/>
      <x:c r="D59" s="182"/>
      <x:c r="E59" s="182" t="str">
        <x:v>Ein Krankenhausfall; t0 und Kohortenstation unverändert. MedA-Frist bleibt t0 + sieben Tage.</x:v>
      </x:c>
      <x:c r="F59" s="182"/>
      <x:c r="G59" s="182"/>
      <x:c r="H59" s="182"/>
    </x:row>
    <x:row r="60" ht="72" customHeight="1">
      <x:c r="A60" s="185" t="str">
        <x:v>11</x:v>
      </x:c>
      <x:c r="B60" s="185" t="str">
        <x:v>MRP dokumentiert, Lösung beurteilbar und ungelöst.</x:v>
      </x:c>
      <x:c r="C60" s="185"/>
      <x:c r="D60" s="185"/>
      <x:c r="E60" s="185" t="str">
        <x:v>FAS3 bei erfülltem FAS2.2 ja. Ungelöst ist kein Ausschluss. Fehlende Lösungsinformation separat.</x:v>
      </x:c>
      <x:c r="F60" s="185"/>
      <x:c r="G60" s="185"/>
      <x:c r="H60" s="185"/>
    </x:row>
    <x:row r="61" ht="72" customHeight="1">
      <x:c r="A61" s="182" t="str">
        <x:v>12</x:v>
      </x:c>
      <x:c r="B61" s="182" t="str">
        <x:v>Offener Fall an Tag 5 ohne MedA oder Lücke in der Lieferung.</x:v>
      </x:c>
      <x:c r="C61" s="182"/>
      <x:c r="D61" s="182"/>
      <x:c r="E61" s="182" t="str">
        <x:v>FAS1-Zugehörigkeit erhalten; endgültige Soll-/Durchführungsbewertung je beurteilbarem Stand, offene Bedingungen nicht als ereignisfrei ausgeben.</x:v>
      </x:c>
      <x:c r="F61" s="182"/>
      <x:c r="G61" s="182"/>
      <x:c r="H61" s="182"/>
    </x:row>
    <x:row r="62">
      <x:c r="A62" s="182"/>
      <x:c r="B62" s="182"/>
      <x:c r="C62" s="182"/>
      <x:c r="D62" s="182"/>
      <x:c r="E62" s="182"/>
      <x:c r="F62" s="182"/>
      <x:c r="G62" s="182"/>
      <x:c r="H62" s="182"/>
    </x:row>
    <x:row r="63" ht="30" customHeight="1">
      <x:c r="A63" s="184" t="str">
        <x:v>Konfiguration und Quellen</x:v>
      </x:c>
      <x:c r="B63" s="184"/>
      <x:c r="C63" s="184"/>
      <x:c r="D63" s="184"/>
      <x:c r="E63" s="184"/>
      <x:c r="F63" s="184"/>
      <x:c r="G63" s="184"/>
      <x:c r="H63" s="184"/>
    </x:row>
    <x:row r="64" ht="53" customHeight="1">
      <x:c r="A64" s="185" t="str">
        <x:v>Stationsfelder</x:v>
      </x:c>
      <x:c r="B64" s="185" t="str">
        <x:v>E: observation_start (früher phase_a_start); F: crs_calendar_start (zuvor ohne Feldname); G: phase_b_calendar_start (früher phase_b_start); H: last_study_day (früher phase_b_end). Excel-Definitionen sind nicht automatisch in dataprocessor_config.toml umgesetzt.</x:v>
      </x:c>
      <x:c r="C64" s="185"/>
      <x:c r="D64" s="185"/>
      <x:c r="E64" s="185"/>
      <x:c r="F64" s="185"/>
      <x:c r="G64" s="185"/>
      <x:c r="H64" s="185"/>
    </x:row>
    <x:row r="65" ht="53" customHeight="1">
      <x:c r="A65" s="182" t="str">
        <x:v>Quellen</x:v>
      </x:c>
      <x:c r="B65" s="182" t="str">
        <x:v>Studienprotokoll v2.0, Seiten 6, 35–36 und 51; Stationsdefinitionen.xlsx vor Integration; bestätigte Nutzerentscheidungen vom 28.10.2026. Änderungsstand und technische Umsetzung werden getrennt dokumentiert.</x:v>
      </x:c>
      <x:c r="C65" s="182"/>
      <x:c r="D65" s="182"/>
      <x:c r="E65" s="182"/>
      <x:c r="F65" s="182"/>
      <x:c r="G65" s="182"/>
      <x:c r="H65" s="182"/>
    </x:row>
    <x:row r="66" ht="53" customHeight="1">
      <x:c r="A66" s="185" t="str">
        <x:v>Noch offene Merkmale</x:v>
      </x:c>
      <x:c r="B66" s="185" t="str">
        <x:v>Untergruppen-Nenner, Darstellung der Datumskennzahlen und Rückblickszeitraum früherer Aufnahmen sind getrennt zu finalisieren. Die Anonymitäts-/Freigaberegel für zentrale Aggregate ist separat umzusetzen. Lokal darf vollständig gerechnet werden.</x:v>
      </x:c>
      <x:c r="C66" s="185"/>
      <x:c r="D66" s="185"/>
      <x:c r="E66" s="185"/>
      <x:c r="F66" s="185"/>
      <x:c r="G66" s="185"/>
      <x:c r="H66" s="185"/>
    </x:row>
    <x:row r="67" ht="15" customHeight="1">
      <x:c r="A67"/>
      <x:c r="B67"/>
      <x:c r="C67"/>
      <x:c r="D67"/>
      <x:c r="E67"/>
      <x:c r="F67"/>
      <x:c r="G67"/>
      <x:c r="H67"/>
    </x:row>
    <x:row r="68" ht="15" customHeight="1">
      <x:c r="A68"/>
      <x:c r="B68"/>
      <x:c r="C68"/>
      <x:c r="D68"/>
      <x:c r="E68"/>
      <x:c r="F68"/>
      <x:c r="G68"/>
      <x:c r="H68"/>
    </x:row>
    <x:row r="69" ht="15" customHeight="1">
      <x:c r="A69"/>
      <x:c r="B69"/>
      <x:c r="C69"/>
      <x:c r="D69"/>
      <x:c r="E69"/>
      <x:c r="F69"/>
      <x:c r="G69"/>
      <x:c r="H69"/>
    </x:row>
    <x:row r="70" ht="15" customHeight="1">
      <x:c r="A70"/>
      <x:c r="B70"/>
      <x:c r="C70"/>
      <x:c r="D70"/>
      <x:c r="E70"/>
      <x:c r="F70"/>
      <x:c r="G70"/>
      <x:c r="H70"/>
    </x:row>
    <x:row r="71" ht="15" customHeight="1">
      <x:c r="A71"/>
      <x:c r="B71"/>
      <x:c r="C71"/>
      <x:c r="D71"/>
      <x:c r="E71"/>
      <x:c r="F71"/>
      <x:c r="G71"/>
      <x:c r="H71"/>
    </x:row>
    <x:row r="72">
      <x:c r="A72" s="182"/>
      <x:c r="B72" s="182"/>
      <x:c r="C72" s="182"/>
      <x:c r="D72" s="182"/>
      <x:c r="E72" s="182"/>
      <x:c r="F72" s="182"/>
      <x:c r="G72" s="182"/>
      <x:c r="H72" s="182"/>
    </x:row>
    <x:row r="73">
      <x:c r="A73" s="182"/>
      <x:c r="B73" s="182"/>
      <x:c r="C73" s="182"/>
      <x:c r="D73" s="182"/>
      <x:c r="E73" s="182"/>
      <x:c r="F73" s="182"/>
      <x:c r="G73" s="182"/>
      <x:c r="H73" s="182"/>
    </x:row>
    <x:row r="74">
      <x:c r="A74" s="182"/>
      <x:c r="B74" s="182"/>
      <x:c r="C74" s="182"/>
      <x:c r="D74" s="182"/>
      <x:c r="E74" s="182"/>
      <x:c r="F74" s="182"/>
      <x:c r="G74" s="182"/>
      <x:c r="H74" s="182"/>
    </x:row>
    <x:row r="75">
      <x:c r="A75" s="182"/>
      <x:c r="B75" s="182"/>
      <x:c r="C75" s="182"/>
      <x:c r="D75" s="182"/>
      <x:c r="E75" s="182"/>
      <x:c r="F75" s="182"/>
      <x:c r="G75" s="182"/>
      <x:c r="H75" s="182"/>
    </x:row>
  </x:sheetData>
  <x:mergeCells>
    <x:mergeCell ref="A1:H1"/>
    <x:mergeCell ref="B2:H2"/>
    <x:mergeCell ref="B3:H3"/>
    <x:mergeCell ref="B4:H4"/>
    <x:mergeCell ref="B5:H5"/>
    <x:mergeCell ref="B6:H6"/>
    <x:mergeCell ref="A8:H8"/>
    <x:mergeCell ref="B9:C9"/>
    <x:mergeCell ref="D9:E9"/>
    <x:mergeCell ref="F9:H9"/>
    <x:mergeCell ref="B10:C10"/>
    <x:mergeCell ref="D10:E10"/>
    <x:mergeCell ref="F10:H10"/>
    <x:mergeCell ref="B11:C11"/>
    <x:mergeCell ref="D11:E11"/>
    <x:mergeCell ref="F11:H11"/>
    <x:mergeCell ref="B12:C12"/>
    <x:mergeCell ref="D12:E12"/>
    <x:mergeCell ref="F12:H12"/>
    <x:mergeCell ref="B13:C13"/>
    <x:mergeCell ref="D13:E13"/>
    <x:mergeCell ref="F13:H13"/>
    <x:mergeCell ref="A15:H15"/>
    <x:mergeCell ref="B16:E16"/>
    <x:mergeCell ref="F16:H16"/>
    <x:mergeCell ref="B17:E17"/>
    <x:mergeCell ref="F17:H17"/>
    <x:mergeCell ref="B18:E18"/>
    <x:mergeCell ref="F18:H18"/>
    <x:mergeCell ref="B19:E19"/>
    <x:mergeCell ref="F19:H19"/>
    <x:mergeCell ref="B20:H20"/>
    <x:mergeCell ref="A22:H22"/>
    <x:mergeCell ref="B23:H23"/>
    <x:mergeCell ref="B24:H24"/>
    <x:mergeCell ref="B25:H25"/>
    <x:mergeCell ref="B26:H26"/>
    <x:mergeCell ref="B27:H27"/>
    <x:mergeCell ref="B28:H28"/>
    <x:mergeCell ref="B29:H29"/>
    <x:mergeCell ref="B30:H30"/>
    <x:mergeCell ref="B31:H31"/>
    <x:mergeCell ref="B32:H32"/>
    <x:mergeCell ref="B33:H33"/>
    <x:mergeCell ref="B34:H34"/>
    <x:mergeCell ref="B35:H35"/>
    <x:mergeCell ref="B36:H36"/>
    <x:mergeCell ref="B37:H37"/>
    <x:mergeCell ref="B38:H38"/>
    <x:mergeCell ref="B39:H39"/>
    <x:mergeCell ref="B40:H40"/>
    <x:mergeCell ref="A42:H42"/>
    <x:mergeCell ref="B43:H43"/>
    <x:mergeCell ref="B44:H44"/>
    <x:mergeCell ref="B45:H45"/>
    <x:mergeCell ref="B46:H46"/>
    <x:mergeCell ref="B47:H47"/>
    <x:mergeCell ref="A49:H49"/>
    <x:mergeCell ref="B50:D50"/>
    <x:mergeCell ref="E50:H50"/>
    <x:mergeCell ref="B51:D51"/>
    <x:mergeCell ref="E51:H51"/>
    <x:mergeCell ref="B52:D52"/>
    <x:mergeCell ref="E52:H52"/>
    <x:mergeCell ref="B53:D53"/>
    <x:mergeCell ref="E53:H53"/>
    <x:mergeCell ref="B54:D54"/>
    <x:mergeCell ref="E54:H54"/>
    <x:mergeCell ref="B55:D55"/>
    <x:mergeCell ref="E55:H55"/>
    <x:mergeCell ref="B56:D56"/>
    <x:mergeCell ref="E56:H56"/>
    <x:mergeCell ref="B57:D57"/>
    <x:mergeCell ref="E57:H57"/>
    <x:mergeCell ref="B58:D58"/>
    <x:mergeCell ref="E58:H58"/>
    <x:mergeCell ref="B59:D59"/>
    <x:mergeCell ref="E59:H59"/>
    <x:mergeCell ref="B60:D60"/>
    <x:mergeCell ref="E60:H60"/>
    <x:mergeCell ref="B61:D61"/>
    <x:mergeCell ref="E61:H61"/>
    <x:mergeCell ref="A63:H63"/>
    <x:mergeCell ref="B64:H64"/>
    <x:mergeCell ref="B65:H65"/>
    <x:mergeCell ref="B66:H66"/>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38" hidden="0" customWidth="1"/>
    <x:col min="3" max="3" width="12" hidden="0" customWidth="1"/>
    <x:col min="4" max="4" width="17" hidden="0" customWidth="1"/>
    <x:col min="5" max="5" width="22" hidden="0" customWidth="1"/>
    <x:col min="6" max="6" width="22" hidden="0" customWidth="1"/>
    <x:col min="7" max="7" width="29" hidden="0" customWidth="1"/>
    <x:col min="8" max="8" width="16" hidden="0" customWidth="1"/>
    <x:col min="9" max="9" width="21" hidden="0" customWidth="1"/>
    <x:col min="10" max="10" width="25" hidden="0" customWidth="1"/>
    <x:col min="11" max="11" width="18" hidden="0" customWidth="1"/>
    <x:col min="12" max="12" width="14" hidden="0" customWidth="1"/>
    <x:col min="13" max="13" width="62" hidden="0" customWidth="1"/>
    <x:col min="14" max="14" width="31" hidden="0" customWidth="1"/>
  </x:cols>
  <x:sheetData>
    <x:row r="1" ht="30" customHeight="1">
      <x:c r="A1" s="187" t="str">
        <x:v>Auswertbare Studienfenster je Standort und Station</x:v>
      </x:c>
      <x:c r="B1" s="187"/>
      <x:c r="C1" s="187"/>
      <x:c r="D1" s="187"/>
      <x:c r="E1" s="187"/>
      <x:c r="F1" s="187"/>
      <x:c r="G1" s="187"/>
      <x:c r="H1" s="187"/>
      <x:c r="I1" s="187"/>
      <x:c r="J1" s="187"/>
      <x:c r="K1" s="187"/>
      <x:c r="L1" s="187"/>
      <x:c r="M1" s="187"/>
      <x:c r="N1" s="187"/>
    </x:row>
    <x:row r="2" ht="32" customHeight="1">
      <x:c r="A2" s="188" t="str">
        <x:f>"Konfiguration "&amp;Definitionen!$B$2&amp;". Europe/Berlin. Beginn einschließlich, Ende ausschließlich. Studienzulassung und Datenverfügbarkeit getrennt prüfen."</x:f>
        <x:v>Konfiguration IP-COHORT-2026-10-28-01. Europe/Berlin. Beginn einschließlich, Ende ausschließlich. Studienzulassung und Datenverfügbarkeit getrennt prüfen.</x:v>
      </x:c>
      <x:c r="B2" s="188"/>
      <x:c r="C2" s="188"/>
      <x:c r="D2" s="188"/>
      <x:c r="E2" s="188"/>
      <x:c r="F2" s="188"/>
      <x:c r="G2" s="188"/>
      <x:c r="H2" s="188"/>
      <x:c r="I2" s="188"/>
      <x:c r="J2" s="188"/>
      <x:c r="K2" s="188"/>
      <x:c r="L2" s="188"/>
      <x:c r="M2" s="188"/>
      <x:c r="N2" s="188"/>
    </x:row>
    <x:row r="3">
      <x:c r="A3" s="180"/>
      <x:c r="B3" s="180"/>
      <x:c r="C3" s="180"/>
      <x:c r="D3" s="180"/>
      <x:c r="E3" s="180"/>
      <x:c r="F3" s="180"/>
      <x:c r="G3" s="180"/>
      <x:c r="H3" s="180"/>
      <x:c r="I3" s="180"/>
      <x:c r="J3" s="180"/>
      <x:c r="K3" s="180"/>
      <x:c r="L3" s="180"/>
      <x:c r="M3" s="180"/>
      <x:c r="N3" s="180"/>
    </x:row>
    <x:row r="4" ht="54" customHeight="1">
      <x:c r="A4" s="188" t="str">
        <x:v>Standort</x:v>
      </x:c>
      <x:c r="B4" s="188" t="str">
        <x:v>Station</x:v>
      </x:c>
      <x:c r="C4" s="188" t="str">
        <x:v>Studie</x:v>
      </x:c>
      <x:c r="D4" s="188" t="str">
        <x:v>Station zugelassen</x:v>
      </x:c>
      <x:c r="E4" s="188" t="str">
        <x:v>Beginn einschl.</x:v>
      </x:c>
      <x:c r="F4" s="188" t="str">
        <x:v>Ende ausschl.</x:v>
      </x:c>
      <x:c r="G4" s="188" t="str">
        <x:v>Fensterstatus</x:v>
      </x:c>
      <x:c r="H4" s="188" t="str">
        <x:v>BC erforderlich</x:v>
      </x:c>
      <x:c r="I4" s="188" t="str">
        <x:v>Retrol. MRP erforderlich</x:v>
      </x:c>
      <x:c r="J4" s="188" t="str">
        <x:v>Retrol. Erhebung vor Ort</x:v>
      </x:c>
      <x:c r="K4" s="188" t="str">
        <x:v>Studiendauer (Tage)</x:v>
      </x:c>
      <x:c r="L4" s="188" t="str">
        <x:v>Stationszeile</x:v>
      </x:c>
      <x:c r="M4" s="188" t="str">
        <x:v>Geltende Festlegung</x:v>
      </x:c>
      <x:c r="N4" s="188" t="str">
        <x:v>Konfigurationsversion</x:v>
      </x:c>
    </x:row>
    <x:row r="5" ht="30" customHeight="1">
      <x:c r="A5" s="182" t="str">
        <x:f>'Stationen Abfrage dataprocessor'!$A$5</x:f>
        <x:v>UK Aachen</x:v>
      </x:c>
      <x:c r="B5" s="182" t="str">
        <x:f>'Stationen Abfrage dataprocessor'!$D$5</x:f>
        <x:v>CH01</x:v>
      </x:c>
      <x:c r="C5" s="182" t="str">
        <x:v>BS</x:v>
      </x:c>
      <x:c r="D5" s="182" t="str">
        <x:f>'Stationen Abfrage dataprocessor'!$M$5</x:f>
        <x:v>ja</x:v>
      </x:c>
      <x:c r="E5" s="189" t="n">
        <x:f>IF(G5="definiert",'Stationen Abfrage dataprocessor'!$E$5,"")</x:f>
        <x:v>45991</x:v>
      </x:c>
      <x:c r="F5" s="189" t="n">
        <x:f>IF(G5="definiert",IF('Stationen Abfrage dataprocessor'!$T$5="Studienende",'Stationen Abfrage dataprocessor'!$H$5+1,MIN('Stationen Abfrage dataprocessor'!$F$5,'Stationen Abfrage dataprocessor'!$H$5+1)),"")</x:f>
        <x:v>46052</x:v>
      </x:c>
      <x:c r="G5" s="182" t="str">
        <x:f>IF(D5="nein","nicht_anwendbar",IF(D5&lt;&gt;"ja","Konfiguration fehlt",IF(OR(NOT(ISNUMBER('Stationen Abfrage dataprocessor'!$E$5)),NOT(ISNUMBER('Stationen Abfrage dataprocessor'!$H$5)),AND('Stationen Abfrage dataprocessor'!$T$5&lt;&gt;"Phasengrenze",'Stationen Abfrage dataprocessor'!$T$5&lt;&gt;"Studienende"),AND('Stationen Abfrage dataprocessor'!$T$5="Phasengrenze",NOT(ISNUMBER('Stationen Abfrage dataprocessor'!$F$5)))),"Konfiguration fehlt",IF((IF('Stationen Abfrage dataprocessor'!$T$5="Studienende",'Stationen Abfrage dataprocessor'!$H$5+1,MIN('Stationen Abfrage dataprocessor'!$F$5,'Stationen Abfrage dataprocessor'!$H$5+1)))&lt;=('Stationen Abfrage dataprocessor'!$E$5),"kein_beobachtetes_fenster","definiert"))))</x:f>
        <x:v>definiert</x:v>
      </x:c>
      <x:c r="H5" s="182" t="str">
        <x:v>nein</x:v>
      </x:c>
      <x:c r="I5" s="182" t="str">
        <x:v>nein</x:v>
      </x:c>
      <x:c r="J5" s="182" t="str">
        <x:f>"nicht Voraussetzung"</x:f>
        <x:v>nicht Voraussetzung</x:v>
      </x:c>
      <x:c r="K5" s="190" t="n">
        <x:f>IF(G5="definiert",F5-E5,"")</x:f>
        <x:v>61</x:v>
      </x:c>
      <x:c r="L5" s="182" t="n">
        <x:v>5</x:v>
      </x:c>
      <x:c r="M5" s="182" t="str">
        <x:f>IF('Stationen Abfrage dataprocessor'!$K$5="","",'Stationen Abfrage dataprocessor'!$K$5)</x:f>
      </x:c>
      <x:c r="N5" s="182" t="str">
        <x:f>Definitionen!$B$2</x:f>
        <x:v>IP-COHORT-2026-10-28-01</x:v>
      </x:c>
    </x:row>
    <x:row r="6" ht="30" customHeight="1">
      <x:c r="A6" s="182" t="str">
        <x:f>'Stationen Abfrage dataprocessor'!$A$5</x:f>
        <x:v>UK Aachen</x:v>
      </x:c>
      <x:c r="B6" s="182" t="str">
        <x:f>'Stationen Abfrage dataprocessor'!$D$5</x:f>
        <x:v>CH01</x:v>
      </x:c>
      <x:c r="C6" s="182" t="str">
        <x:v>CRS-A</x:v>
      </x:c>
      <x:c r="D6" s="182" t="str">
        <x:f>'Stationen Abfrage dataprocessor'!$N$5</x:f>
        <x:v>ja</x:v>
      </x:c>
      <x:c r="E6" s="189" t="n">
        <x:f>IF(G6="definiert",MAX('Stationen Abfrage dataprocessor'!$E$5,'Stationen Abfrage dataprocessor'!$F$5),"")</x:f>
        <x:v>46052</x:v>
      </x:c>
      <x:c r="F6" s="189" t="n">
        <x:f>IF(G6="definiert",MIN('Stationen Abfrage dataprocessor'!$G$5,'Stationen Abfrage dataprocessor'!$H$5+1),"")</x:f>
        <x:v>46080</x:v>
      </x:c>
      <x:c r="G6" s="182" t="str">
        <x:f>IF(D6="nein","nicht_anwendbar",IF(D6&lt;&gt;"ja","Konfiguration fehlt",IF(OR(NOT(ISNUMBER('Stationen Abfrage dataprocessor'!$E$5)),NOT(ISNUMBER('Stationen Abfrage dataprocessor'!$F$5)),NOT(ISNUMBER('Stationen Abfrage dataprocessor'!$G$5)),NOT(ISNUMBER('Stationen Abfrage dataprocessor'!$H$5))),"Konfiguration fehlt",IF((MIN('Stationen Abfrage dataprocessor'!$G$5,'Stationen Abfrage dataprocessor'!$H$5+1))&lt;=(MAX('Stationen Abfrage dataprocessor'!$E$5,'Stationen Abfrage dataprocessor'!$F$5)),"kein_beobachtetes_fenster","definiert"))))</x:f>
        <x:v>definiert</x:v>
      </x:c>
      <x:c r="H6" s="182" t="str">
        <x:v>nein</x:v>
      </x:c>
      <x:c r="I6" s="182" t="str">
        <x:v>nein</x:v>
      </x:c>
      <x:c r="J6" s="182" t="str">
        <x:f>"nicht Voraussetzung"</x:f>
        <x:v>nicht Voraussetzung</x:v>
      </x:c>
      <x:c r="K6" s="190" t="n">
        <x:f>IF(G6="definiert",F6-E6,"")</x:f>
        <x:v>28</x:v>
      </x:c>
      <x:c r="L6" s="182" t="n">
        <x:v>5</x:v>
      </x:c>
      <x:c r="M6" s="182" t="str">
        <x:f>IF('Stationen Abfrage dataprocessor'!$K$5="","",'Stationen Abfrage dataprocessor'!$K$5)</x:f>
      </x:c>
      <x:c r="N6" s="182" t="str">
        <x:f>Definitionen!$B$2</x:f>
        <x:v>IP-COHORT-2026-10-28-01</x:v>
      </x:c>
    </x:row>
    <x:row r="7" ht="30" customHeight="1">
      <x:c r="A7" s="182" t="str">
        <x:f>'Stationen Abfrage dataprocessor'!$A$5</x:f>
        <x:v>UK Aachen</x:v>
      </x:c>
      <x:c r="B7" s="182" t="str">
        <x:f>'Stationen Abfrage dataprocessor'!$D$5</x:f>
        <x:v>CH01</x:v>
      </x:c>
      <x:c r="C7" s="182" t="str">
        <x:v>CRS-B</x:v>
      </x:c>
      <x:c r="D7" s="182" t="str">
        <x:f>'Stationen Abfrage dataprocessor'!$O$5</x:f>
        <x:v>ja</x:v>
      </x:c>
      <x:c r="E7" s="189" t="n">
        <x:f>IF(G7="definiert",MAX('Stationen Abfrage dataprocessor'!$E$5,'Stationen Abfrage dataprocessor'!$G$5),"")</x:f>
        <x:v>46080</x:v>
      </x:c>
      <x:c r="F7" s="189" t="n">
        <x:f>IF(G7="definiert",'Stationen Abfrage dataprocessor'!$H$5+1,"")</x:f>
        <x:v>46266</x:v>
      </x:c>
      <x:c r="G7" s="182" t="str">
        <x:f>IF(D7="nein","nicht_anwendbar",IF(D7&lt;&gt;"ja","Konfiguration fehlt",IF(OR(NOT(ISNUMBER('Stationen Abfrage dataprocessor'!$E$5)),NOT(ISNUMBER('Stationen Abfrage dataprocessor'!$G$5)),NOT(ISNUMBER('Stationen Abfrage dataprocessor'!$H$5))),"Konfiguration fehlt",IF(('Stationen Abfrage dataprocessor'!$H$5+1)&lt;=(MAX('Stationen Abfrage dataprocessor'!$E$5,'Stationen Abfrage dataprocessor'!$G$5)),"kein_beobachtetes_fenster","definiert"))))</x:f>
        <x:v>definiert</x:v>
      </x:c>
      <x:c r="H7" s="182" t="str">
        <x:v>nein</x:v>
      </x:c>
      <x:c r="I7" s="182" t="str">
        <x:v>nein</x:v>
      </x:c>
      <x:c r="J7" s="182" t="str">
        <x:f>'Stationen Abfrage dataprocessor'!$S$5</x:f>
        <x:v>fallbezogen prüfen</x:v>
      </x:c>
      <x:c r="K7" s="190" t="n">
        <x:f>IF(G7="definiert",F7-E7,"")</x:f>
        <x:v>186</x:v>
      </x:c>
      <x:c r="L7" s="182" t="n">
        <x:v>5</x:v>
      </x:c>
      <x:c r="M7" s="182" t="str">
        <x:f>IF('Stationen Abfrage dataprocessor'!$K$5="","",'Stationen Abfrage dataprocessor'!$K$5)</x:f>
      </x:c>
      <x:c r="N7" s="182" t="str">
        <x:f>Definitionen!$B$2</x:f>
        <x:v>IP-COHORT-2026-10-28-01</x:v>
      </x:c>
    </x:row>
    <x:row r="8" ht="30" customHeight="1">
      <x:c r="A8" s="182" t="str">
        <x:f>'Stationen Abfrage dataprocessor'!$A$5</x:f>
        <x:v>UK Aachen</x:v>
      </x:c>
      <x:c r="B8" s="182" t="str">
        <x:f>'Stationen Abfrage dataprocessor'!$D$5</x:f>
        <x:v>CH01</x:v>
      </x:c>
      <x:c r="C8" s="182" t="str">
        <x:v>RES</x:v>
      </x:c>
      <x:c r="D8" s="182" t="str">
        <x:f>'Stationen Abfrage dataprocessor'!$P$5</x:f>
        <x:v>ja</x:v>
      </x:c>
      <x:c r="E8" s="189" t="n">
        <x:f>IF(G8="definiert",MAX('Stationen Abfrage dataprocessor'!$E$5,'Stationen Abfrage dataprocessor'!$G$5),"")</x:f>
        <x:v>46080</x:v>
      </x:c>
      <x:c r="F8" s="189" t="n">
        <x:f>IF(G8="definiert",'Stationen Abfrage dataprocessor'!$H$5+1,"")</x:f>
        <x:v>46266</x:v>
      </x:c>
      <x:c r="G8" s="182" t="str">
        <x:f>IF(D8="nein","nicht_anwendbar",IF(D8&lt;&gt;"ja","Konfiguration fehlt",IF(OR(NOT(ISNUMBER('Stationen Abfrage dataprocessor'!$E$5)),NOT(ISNUMBER('Stationen Abfrage dataprocessor'!$G$5)),NOT(ISNUMBER('Stationen Abfrage dataprocessor'!$H$5))),"Konfiguration fehlt",IF(('Stationen Abfrage dataprocessor'!$H$5+1)&lt;=(MAX('Stationen Abfrage dataprocessor'!$E$5,'Stationen Abfrage dataprocessor'!$G$5)),"kein_beobachtetes_fenster","definiert"))))</x:f>
        <x:v>definiert</x:v>
      </x:c>
      <x:c r="H8" s="182" t="str">
        <x:v>ja</x:v>
      </x:c>
      <x:c r="I8" s="182" t="str">
        <x:v>ja</x:v>
      </x:c>
      <x:c r="J8" s="182" t="str">
        <x:f>'Stationen Abfrage dataprocessor'!$S$5</x:f>
        <x:v>fallbezogen prüfen</x:v>
      </x:c>
      <x:c r="K8" s="190" t="n">
        <x:f>IF(G8="definiert",F8-E8,"")</x:f>
        <x:v>186</x:v>
      </x:c>
      <x:c r="L8" s="182" t="n">
        <x:v>5</x:v>
      </x:c>
      <x:c r="M8" s="182" t="str">
        <x:f>IF('Stationen Abfrage dataprocessor'!$K$5="","",'Stationen Abfrage dataprocessor'!$K$5)</x:f>
      </x:c>
      <x:c r="N8" s="182" t="str">
        <x:f>Definitionen!$B$2</x:f>
        <x:v>IP-COHORT-2026-10-28-01</x:v>
      </x:c>
    </x:row>
    <x:row r="9" ht="30" customHeight="1">
      <x:c r="A9" s="182" t="str">
        <x:f>'Stationen Abfrage dataprocessor'!$A$5</x:f>
        <x:v>UK Aachen</x:v>
      </x:c>
      <x:c r="B9" s="182" t="str">
        <x:f>'Stationen Abfrage dataprocessor'!$D$5</x:f>
        <x:v>CH01</x:v>
      </x:c>
      <x:c r="C9" s="182" t="str">
        <x:v>TRS</x:v>
      </x:c>
      <x:c r="D9" s="182" t="str">
        <x:f>'Stationen Abfrage dataprocessor'!$Q$5</x:f>
        <x:v>ja</x:v>
      </x:c>
      <x:c r="E9" s="189" t="n">
        <x:f>IF(G9="definiert",'Stationen Abfrage dataprocessor'!$E$5,"")</x:f>
        <x:v>45991</x:v>
      </x:c>
      <x:c r="F9" s="189" t="n">
        <x:f>IF(G9="definiert",'Stationen Abfrage dataprocessor'!$H$5+1,"")</x:f>
        <x:v>46266</x:v>
      </x:c>
      <x:c r="G9" s="182" t="str">
        <x:f>IF(D9="nein","nicht_anwendbar",IF(D9&lt;&gt;"ja","Konfiguration fehlt",IF(OR(NOT(ISNUMBER('Stationen Abfrage dataprocessor'!$E$5)),NOT(ISNUMBER('Stationen Abfrage dataprocessor'!$H$5))),"Konfiguration fehlt",IF(('Stationen Abfrage dataprocessor'!$H$5+1)&lt;=('Stationen Abfrage dataprocessor'!$E$5),"kein_beobachtetes_fenster","definiert"))))</x:f>
        <x:v>definiert</x:v>
      </x:c>
      <x:c r="H9" s="182" t="str">
        <x:v>ja</x:v>
      </x:c>
      <x:c r="I9" s="182" t="str">
        <x:v>nein</x:v>
      </x:c>
      <x:c r="J9" s="182" t="str">
        <x:f>"nicht Voraussetzung"</x:f>
        <x:v>nicht Voraussetzung</x:v>
      </x:c>
      <x:c r="K9" s="190" t="n">
        <x:f>IF(G9="definiert",F9-E9,"")</x:f>
        <x:v>275</x:v>
      </x:c>
      <x:c r="L9" s="182" t="n">
        <x:v>5</x:v>
      </x:c>
      <x:c r="M9" s="182" t="str">
        <x:f>IF('Stationen Abfrage dataprocessor'!$K$5="","",'Stationen Abfrage dataprocessor'!$K$5)</x:f>
      </x:c>
      <x:c r="N9" s="182" t="str">
        <x:f>Definitionen!$B$2</x:f>
        <x:v>IP-COHORT-2026-10-28-01</x:v>
      </x:c>
    </x:row>
    <x:row r="10" ht="30" customHeight="1">
      <x:c r="A10" s="182" t="str">
        <x:f>'Stationen Abfrage dataprocessor'!$A$6</x:f>
        <x:v>UK Aachen</x:v>
      </x:c>
      <x:c r="B10" s="182" t="str">
        <x:f>'Stationen Abfrage dataprocessor'!$D$6</x:f>
        <x:v>IM42</x:v>
      </x:c>
      <x:c r="C10" s="182" t="str">
        <x:v>BS</x:v>
      </x:c>
      <x:c r="D10" s="182" t="str">
        <x:f>'Stationen Abfrage dataprocessor'!$M$6</x:f>
        <x:v>ja</x:v>
      </x:c>
      <x:c r="E10" s="189" t="n">
        <x:f>IF(G10="definiert",'Stationen Abfrage dataprocessor'!$E$6,"")</x:f>
        <x:v>45981</x:v>
      </x:c>
      <x:c r="F10" s="189" t="n">
        <x:f>IF(G10="definiert",IF('Stationen Abfrage dataprocessor'!$T$6="Studienende",'Stationen Abfrage dataprocessor'!$H$6+1,MIN('Stationen Abfrage dataprocessor'!$F$6,'Stationen Abfrage dataprocessor'!$H$6+1)),"")</x:f>
        <x:v>46052</x:v>
      </x:c>
      <x:c r="G10" s="182" t="str">
        <x:f>IF(D10="nein","nicht_anwendbar",IF(D10&lt;&gt;"ja","Konfiguration fehlt",IF(OR(NOT(ISNUMBER('Stationen Abfrage dataprocessor'!$E$6)),NOT(ISNUMBER('Stationen Abfrage dataprocessor'!$H$6)),AND('Stationen Abfrage dataprocessor'!$T$6&lt;&gt;"Phasengrenze",'Stationen Abfrage dataprocessor'!$T$6&lt;&gt;"Studienende"),AND('Stationen Abfrage dataprocessor'!$T$6="Phasengrenze",NOT(ISNUMBER('Stationen Abfrage dataprocessor'!$F$6)))),"Konfiguration fehlt",IF((IF('Stationen Abfrage dataprocessor'!$T$6="Studienende",'Stationen Abfrage dataprocessor'!$H$6+1,MIN('Stationen Abfrage dataprocessor'!$F$6,'Stationen Abfrage dataprocessor'!$H$6+1)))&lt;=('Stationen Abfrage dataprocessor'!$E$6),"kein_beobachtetes_fenster","definiert"))))</x:f>
        <x:v>definiert</x:v>
      </x:c>
      <x:c r="H10" s="182" t="str">
        <x:v>nein</x:v>
      </x:c>
      <x:c r="I10" s="182" t="str">
        <x:v>nein</x:v>
      </x:c>
      <x:c r="J10" s="182" t="str">
        <x:f>"nicht Voraussetzung"</x:f>
        <x:v>nicht Voraussetzung</x:v>
      </x:c>
      <x:c r="K10" s="190" t="n">
        <x:f>IF(G10="definiert",F10-E10,"")</x:f>
        <x:v>71</x:v>
      </x:c>
      <x:c r="L10" s="182" t="n">
        <x:v>6</x:v>
      </x:c>
      <x:c r="M10" s="182" t="str">
        <x:f>IF('Stationen Abfrage dataprocessor'!$K$6="","",'Stationen Abfrage dataprocessor'!$K$6)</x:f>
      </x:c>
      <x:c r="N10" s="182" t="str">
        <x:f>Definitionen!$B$2</x:f>
        <x:v>IP-COHORT-2026-10-28-01</x:v>
      </x:c>
    </x:row>
    <x:row r="11" ht="30" customHeight="1">
      <x:c r="A11" s="182" t="str">
        <x:f>'Stationen Abfrage dataprocessor'!$A$6</x:f>
        <x:v>UK Aachen</x:v>
      </x:c>
      <x:c r="B11" s="182" t="str">
        <x:f>'Stationen Abfrage dataprocessor'!$D$6</x:f>
        <x:v>IM42</x:v>
      </x:c>
      <x:c r="C11" s="182" t="str">
        <x:v>CRS-A</x:v>
      </x:c>
      <x:c r="D11" s="182" t="str">
        <x:f>'Stationen Abfrage dataprocessor'!$N$6</x:f>
        <x:v>ja</x:v>
      </x:c>
      <x:c r="E11" s="189" t="n">
        <x:f>IF(G11="definiert",MAX('Stationen Abfrage dataprocessor'!$E$6,'Stationen Abfrage dataprocessor'!$F$6),"")</x:f>
        <x:v>46052</x:v>
      </x:c>
      <x:c r="F11" s="189" t="n">
        <x:f>IF(G11="definiert",MIN('Stationen Abfrage dataprocessor'!$G$6,'Stationen Abfrage dataprocessor'!$H$6+1),"")</x:f>
        <x:v>46080</x:v>
      </x:c>
      <x:c r="G11" s="182" t="str">
        <x:f>IF(D11="nein","nicht_anwendbar",IF(D11&lt;&gt;"ja","Konfiguration fehlt",IF(OR(NOT(ISNUMBER('Stationen Abfrage dataprocessor'!$E$6)),NOT(ISNUMBER('Stationen Abfrage dataprocessor'!$F$6)),NOT(ISNUMBER('Stationen Abfrage dataprocessor'!$G$6)),NOT(ISNUMBER('Stationen Abfrage dataprocessor'!$H$6))),"Konfiguration fehlt",IF((MIN('Stationen Abfrage dataprocessor'!$G$6,'Stationen Abfrage dataprocessor'!$H$6+1))&lt;=(MAX('Stationen Abfrage dataprocessor'!$E$6,'Stationen Abfrage dataprocessor'!$F$6)),"kein_beobachtetes_fenster","definiert"))))</x:f>
        <x:v>definiert</x:v>
      </x:c>
      <x:c r="H11" s="182" t="str">
        <x:v>nein</x:v>
      </x:c>
      <x:c r="I11" s="182" t="str">
        <x:v>nein</x:v>
      </x:c>
      <x:c r="J11" s="182" t="str">
        <x:f>"nicht Voraussetzung"</x:f>
        <x:v>nicht Voraussetzung</x:v>
      </x:c>
      <x:c r="K11" s="190" t="n">
        <x:f>IF(G11="definiert",F11-E11,"")</x:f>
        <x:v>28</x:v>
      </x:c>
      <x:c r="L11" s="182" t="n">
        <x:v>6</x:v>
      </x:c>
      <x:c r="M11" s="182" t="str">
        <x:f>IF('Stationen Abfrage dataprocessor'!$K$6="","",'Stationen Abfrage dataprocessor'!$K$6)</x:f>
      </x:c>
      <x:c r="N11" s="182" t="str">
        <x:f>Definitionen!$B$2</x:f>
        <x:v>IP-COHORT-2026-10-28-01</x:v>
      </x:c>
    </x:row>
    <x:row r="12" ht="30" customHeight="1">
      <x:c r="A12" s="182" t="str">
        <x:f>'Stationen Abfrage dataprocessor'!$A$6</x:f>
        <x:v>UK Aachen</x:v>
      </x:c>
      <x:c r="B12" s="182" t="str">
        <x:f>'Stationen Abfrage dataprocessor'!$D$6</x:f>
        <x:v>IM42</x:v>
      </x:c>
      <x:c r="C12" s="182" t="str">
        <x:v>CRS-B</x:v>
      </x:c>
      <x:c r="D12" s="182" t="str">
        <x:f>'Stationen Abfrage dataprocessor'!$O$6</x:f>
        <x:v>ja</x:v>
      </x:c>
      <x:c r="E12" s="189" t="n">
        <x:f>IF(G12="definiert",MAX('Stationen Abfrage dataprocessor'!$E$6,'Stationen Abfrage dataprocessor'!$G$6),"")</x:f>
        <x:v>46080</x:v>
      </x:c>
      <x:c r="F12" s="189" t="n">
        <x:f>IF(G12="definiert",'Stationen Abfrage dataprocessor'!$H$6+1,"")</x:f>
        <x:v>46266</x:v>
      </x:c>
      <x:c r="G12" s="182" t="str">
        <x:f>IF(D12="nein","nicht_anwendbar",IF(D12&lt;&gt;"ja","Konfiguration fehlt",IF(OR(NOT(ISNUMBER('Stationen Abfrage dataprocessor'!$E$6)),NOT(ISNUMBER('Stationen Abfrage dataprocessor'!$G$6)),NOT(ISNUMBER('Stationen Abfrage dataprocessor'!$H$6))),"Konfiguration fehlt",IF(('Stationen Abfrage dataprocessor'!$H$6+1)&lt;=(MAX('Stationen Abfrage dataprocessor'!$E$6,'Stationen Abfrage dataprocessor'!$G$6)),"kein_beobachtetes_fenster","definiert"))))</x:f>
        <x:v>definiert</x:v>
      </x:c>
      <x:c r="H12" s="182" t="str">
        <x:v>nein</x:v>
      </x:c>
      <x:c r="I12" s="182" t="str">
        <x:v>nein</x:v>
      </x:c>
      <x:c r="J12" s="182" t="str">
        <x:f>'Stationen Abfrage dataprocessor'!$S$6</x:f>
        <x:v>fallbezogen prüfen</x:v>
      </x:c>
      <x:c r="K12" s="190" t="n">
        <x:f>IF(G12="definiert",F12-E12,"")</x:f>
        <x:v>186</x:v>
      </x:c>
      <x:c r="L12" s="182" t="n">
        <x:v>6</x:v>
      </x:c>
      <x:c r="M12" s="182" t="str">
        <x:f>IF('Stationen Abfrage dataprocessor'!$K$6="","",'Stationen Abfrage dataprocessor'!$K$6)</x:f>
      </x:c>
      <x:c r="N12" s="182" t="str">
        <x:f>Definitionen!$B$2</x:f>
        <x:v>IP-COHORT-2026-10-28-01</x:v>
      </x:c>
    </x:row>
    <x:row r="13" ht="30" customHeight="1">
      <x:c r="A13" s="182" t="str">
        <x:f>'Stationen Abfrage dataprocessor'!$A$6</x:f>
        <x:v>UK Aachen</x:v>
      </x:c>
      <x:c r="B13" s="182" t="str">
        <x:f>'Stationen Abfrage dataprocessor'!$D$6</x:f>
        <x:v>IM42</x:v>
      </x:c>
      <x:c r="C13" s="182" t="str">
        <x:v>RES</x:v>
      </x:c>
      <x:c r="D13" s="182" t="str">
        <x:f>'Stationen Abfrage dataprocessor'!$P$6</x:f>
        <x:v>ja</x:v>
      </x:c>
      <x:c r="E13" s="189" t="n">
        <x:f>IF(G13="definiert",MAX('Stationen Abfrage dataprocessor'!$E$6,'Stationen Abfrage dataprocessor'!$G$6),"")</x:f>
        <x:v>46080</x:v>
      </x:c>
      <x:c r="F13" s="189" t="n">
        <x:f>IF(G13="definiert",'Stationen Abfrage dataprocessor'!$H$6+1,"")</x:f>
        <x:v>46266</x:v>
      </x:c>
      <x:c r="G13" s="182" t="str">
        <x:f>IF(D13="nein","nicht_anwendbar",IF(D13&lt;&gt;"ja","Konfiguration fehlt",IF(OR(NOT(ISNUMBER('Stationen Abfrage dataprocessor'!$E$6)),NOT(ISNUMBER('Stationen Abfrage dataprocessor'!$G$6)),NOT(ISNUMBER('Stationen Abfrage dataprocessor'!$H$6))),"Konfiguration fehlt",IF(('Stationen Abfrage dataprocessor'!$H$6+1)&lt;=(MAX('Stationen Abfrage dataprocessor'!$E$6,'Stationen Abfrage dataprocessor'!$G$6)),"kein_beobachtetes_fenster","definiert"))))</x:f>
        <x:v>definiert</x:v>
      </x:c>
      <x:c r="H13" s="182" t="str">
        <x:v>ja</x:v>
      </x:c>
      <x:c r="I13" s="182" t="str">
        <x:v>ja</x:v>
      </x:c>
      <x:c r="J13" s="182" t="str">
        <x:f>'Stationen Abfrage dataprocessor'!$S$6</x:f>
        <x:v>fallbezogen prüfen</x:v>
      </x:c>
      <x:c r="K13" s="190" t="n">
        <x:f>IF(G13="definiert",F13-E13,"")</x:f>
        <x:v>186</x:v>
      </x:c>
      <x:c r="L13" s="182" t="n">
        <x:v>6</x:v>
      </x:c>
      <x:c r="M13" s="182" t="str">
        <x:f>IF('Stationen Abfrage dataprocessor'!$K$6="","",'Stationen Abfrage dataprocessor'!$K$6)</x:f>
      </x:c>
      <x:c r="N13" s="182" t="str">
        <x:f>Definitionen!$B$2</x:f>
        <x:v>IP-COHORT-2026-10-28-01</x:v>
      </x:c>
    </x:row>
    <x:row r="14" ht="30" customHeight="1">
      <x:c r="A14" s="182" t="str">
        <x:f>'Stationen Abfrage dataprocessor'!$A$6</x:f>
        <x:v>UK Aachen</x:v>
      </x:c>
      <x:c r="B14" s="182" t="str">
        <x:f>'Stationen Abfrage dataprocessor'!$D$6</x:f>
        <x:v>IM42</x:v>
      </x:c>
      <x:c r="C14" s="182" t="str">
        <x:v>TRS</x:v>
      </x:c>
      <x:c r="D14" s="182" t="str">
        <x:f>'Stationen Abfrage dataprocessor'!$Q$6</x:f>
        <x:v>ja</x:v>
      </x:c>
      <x:c r="E14" s="189" t="n">
        <x:f>IF(G14="definiert",'Stationen Abfrage dataprocessor'!$E$6,"")</x:f>
        <x:v>45981</x:v>
      </x:c>
      <x:c r="F14" s="189" t="n">
        <x:f>IF(G14="definiert",'Stationen Abfrage dataprocessor'!$H$6+1,"")</x:f>
        <x:v>46266</x:v>
      </x:c>
      <x:c r="G14" s="182" t="str">
        <x:f>IF(D14="nein","nicht_anwendbar",IF(D14&lt;&gt;"ja","Konfiguration fehlt",IF(OR(NOT(ISNUMBER('Stationen Abfrage dataprocessor'!$E$6)),NOT(ISNUMBER('Stationen Abfrage dataprocessor'!$H$6))),"Konfiguration fehlt",IF(('Stationen Abfrage dataprocessor'!$H$6+1)&lt;=('Stationen Abfrage dataprocessor'!$E$6),"kein_beobachtetes_fenster","definiert"))))</x:f>
        <x:v>definiert</x:v>
      </x:c>
      <x:c r="H14" s="182" t="str">
        <x:v>ja</x:v>
      </x:c>
      <x:c r="I14" s="182" t="str">
        <x:v>nein</x:v>
      </x:c>
      <x:c r="J14" s="182" t="str">
        <x:f>"nicht Voraussetzung"</x:f>
        <x:v>nicht Voraussetzung</x:v>
      </x:c>
      <x:c r="K14" s="190" t="n">
        <x:f>IF(G14="definiert",F14-E14,"")</x:f>
        <x:v>285</x:v>
      </x:c>
      <x:c r="L14" s="182" t="n">
        <x:v>6</x:v>
      </x:c>
      <x:c r="M14" s="182" t="str">
        <x:f>IF('Stationen Abfrage dataprocessor'!$K$6="","",'Stationen Abfrage dataprocessor'!$K$6)</x:f>
      </x:c>
      <x:c r="N14" s="182" t="str">
        <x:f>Definitionen!$B$2</x:f>
        <x:v>IP-COHORT-2026-10-28-01</x:v>
      </x:c>
    </x:row>
    <x:row r="15" ht="30" customHeight="1">
      <x:c r="A15" s="182" t="str">
        <x:f>'Stationen Abfrage dataprocessor'!$A$7</x:f>
        <x:v>UK Aachen</x:v>
      </x:c>
      <x:c r="B15" s="182" t="str">
        <x:f>'Stationen Abfrage dataprocessor'!$D$7</x:f>
        <x:v>F-01</x:v>
      </x:c>
      <x:c r="C15" s="182" t="str">
        <x:v>BS</x:v>
      </x:c>
      <x:c r="D15" s="182" t="str">
        <x:f>'Stationen Abfrage dataprocessor'!$M$7</x:f>
        <x:v>ja</x:v>
      </x:c>
      <x:c r="E15" s="189" t="n">
        <x:f>IF(G15="definiert",'Stationen Abfrage dataprocessor'!$E$7,"")</x:f>
        <x:v>45950</x:v>
      </x:c>
      <x:c r="F15" s="189" t="n">
        <x:f>IF(G15="definiert",IF('Stationen Abfrage dataprocessor'!$T$7="Studienende",'Stationen Abfrage dataprocessor'!$H$7+1,MIN('Stationen Abfrage dataprocessor'!$F$7,'Stationen Abfrage dataprocessor'!$H$7+1)),"")</x:f>
        <x:v>46052</x:v>
      </x:c>
      <x:c r="G15" s="182" t="str">
        <x:f>IF(D15="nein","nicht_anwendbar",IF(D15&lt;&gt;"ja","Konfiguration fehlt",IF(OR(NOT(ISNUMBER('Stationen Abfrage dataprocessor'!$E$7)),NOT(ISNUMBER('Stationen Abfrage dataprocessor'!$H$7)),AND('Stationen Abfrage dataprocessor'!$T$7&lt;&gt;"Phasengrenze",'Stationen Abfrage dataprocessor'!$T$7&lt;&gt;"Studienende"),AND('Stationen Abfrage dataprocessor'!$T$7="Phasengrenze",NOT(ISNUMBER('Stationen Abfrage dataprocessor'!$F$7)))),"Konfiguration fehlt",IF((IF('Stationen Abfrage dataprocessor'!$T$7="Studienende",'Stationen Abfrage dataprocessor'!$H$7+1,MIN('Stationen Abfrage dataprocessor'!$F$7,'Stationen Abfrage dataprocessor'!$H$7+1)))&lt;=('Stationen Abfrage dataprocessor'!$E$7),"kein_beobachtetes_fenster","definiert"))))</x:f>
        <x:v>definiert</x:v>
      </x:c>
      <x:c r="H15" s="182" t="str">
        <x:v>nein</x:v>
      </x:c>
      <x:c r="I15" s="182" t="str">
        <x:v>nein</x:v>
      </x:c>
      <x:c r="J15" s="182" t="str">
        <x:f>"nicht Voraussetzung"</x:f>
        <x:v>nicht Voraussetzung</x:v>
      </x:c>
      <x:c r="K15" s="190" t="n">
        <x:f>IF(G15="definiert",F15-E15,"")</x:f>
        <x:v>102</x:v>
      </x:c>
      <x:c r="L15" s="182" t="n">
        <x:v>7</x:v>
      </x:c>
      <x:c r="M15" s="182" t="str">
        <x:f>IF('Stationen Abfrage dataprocessor'!$K$7="","",'Stationen Abfrage dataprocessor'!$K$7)</x:f>
      </x:c>
      <x:c r="N15" s="182" t="str">
        <x:f>Definitionen!$B$2</x:f>
        <x:v>IP-COHORT-2026-10-28-01</x:v>
      </x:c>
    </x:row>
    <x:row r="16" ht="30" customHeight="1">
      <x:c r="A16" s="182" t="str">
        <x:f>'Stationen Abfrage dataprocessor'!$A$7</x:f>
        <x:v>UK Aachen</x:v>
      </x:c>
      <x:c r="B16" s="182" t="str">
        <x:f>'Stationen Abfrage dataprocessor'!$D$7</x:f>
        <x:v>F-01</x:v>
      </x:c>
      <x:c r="C16" s="182" t="str">
        <x:v>CRS-A</x:v>
      </x:c>
      <x:c r="D16" s="182" t="str">
        <x:f>'Stationen Abfrage dataprocessor'!$N$7</x:f>
        <x:v>ja</x:v>
      </x:c>
      <x:c r="E16" s="189" t="n">
        <x:f>IF(G16="definiert",MAX('Stationen Abfrage dataprocessor'!$E$7,'Stationen Abfrage dataprocessor'!$F$7),"")</x:f>
        <x:v>46052</x:v>
      </x:c>
      <x:c r="F16" s="189" t="n">
        <x:f>IF(G16="definiert",MIN('Stationen Abfrage dataprocessor'!$G$7,'Stationen Abfrage dataprocessor'!$H$7+1),"")</x:f>
        <x:v>46108</x:v>
      </x:c>
      <x:c r="G16" s="182" t="str">
        <x:f>IF(D16="nein","nicht_anwendbar",IF(D16&lt;&gt;"ja","Konfiguration fehlt",IF(OR(NOT(ISNUMBER('Stationen Abfrage dataprocessor'!$E$7)),NOT(ISNUMBER('Stationen Abfrage dataprocessor'!$F$7)),NOT(ISNUMBER('Stationen Abfrage dataprocessor'!$G$7)),NOT(ISNUMBER('Stationen Abfrage dataprocessor'!$H$7))),"Konfiguration fehlt",IF((MIN('Stationen Abfrage dataprocessor'!$G$7,'Stationen Abfrage dataprocessor'!$H$7+1))&lt;=(MAX('Stationen Abfrage dataprocessor'!$E$7,'Stationen Abfrage dataprocessor'!$F$7)),"kein_beobachtetes_fenster","definiert"))))</x:f>
        <x:v>definiert</x:v>
      </x:c>
      <x:c r="H16" s="182" t="str">
        <x:v>nein</x:v>
      </x:c>
      <x:c r="I16" s="182" t="str">
        <x:v>nein</x:v>
      </x:c>
      <x:c r="J16" s="182" t="str">
        <x:f>"nicht Voraussetzung"</x:f>
        <x:v>nicht Voraussetzung</x:v>
      </x:c>
      <x:c r="K16" s="190" t="n">
        <x:f>IF(G16="definiert",F16-E16,"")</x:f>
        <x:v>56</x:v>
      </x:c>
      <x:c r="L16" s="182" t="n">
        <x:v>7</x:v>
      </x:c>
      <x:c r="M16" s="182" t="str">
        <x:f>IF('Stationen Abfrage dataprocessor'!$K$7="","",'Stationen Abfrage dataprocessor'!$K$7)</x:f>
      </x:c>
      <x:c r="N16" s="182" t="str">
        <x:f>Definitionen!$B$2</x:f>
        <x:v>IP-COHORT-2026-10-28-01</x:v>
      </x:c>
    </x:row>
    <x:row r="17" ht="30" customHeight="1">
      <x:c r="A17" s="182" t="str">
        <x:f>'Stationen Abfrage dataprocessor'!$A$7</x:f>
        <x:v>UK Aachen</x:v>
      </x:c>
      <x:c r="B17" s="182" t="str">
        <x:f>'Stationen Abfrage dataprocessor'!$D$7</x:f>
        <x:v>F-01</x:v>
      </x:c>
      <x:c r="C17" s="182" t="str">
        <x:v>CRS-B</x:v>
      </x:c>
      <x:c r="D17" s="182" t="str">
        <x:f>'Stationen Abfrage dataprocessor'!$O$7</x:f>
        <x:v>ja</x:v>
      </x:c>
      <x:c r="E17" s="189" t="n">
        <x:f>IF(G17="definiert",MAX('Stationen Abfrage dataprocessor'!$E$7,'Stationen Abfrage dataprocessor'!$G$7),"")</x:f>
        <x:v>46108</x:v>
      </x:c>
      <x:c r="F17" s="189" t="n">
        <x:f>IF(G17="definiert",'Stationen Abfrage dataprocessor'!$H$7+1,"")</x:f>
        <x:v>46266</x:v>
      </x:c>
      <x:c r="G17" s="182" t="str">
        <x:f>IF(D17="nein","nicht_anwendbar",IF(D17&lt;&gt;"ja","Konfiguration fehlt",IF(OR(NOT(ISNUMBER('Stationen Abfrage dataprocessor'!$E$7)),NOT(ISNUMBER('Stationen Abfrage dataprocessor'!$G$7)),NOT(ISNUMBER('Stationen Abfrage dataprocessor'!$H$7))),"Konfiguration fehlt",IF(('Stationen Abfrage dataprocessor'!$H$7+1)&lt;=(MAX('Stationen Abfrage dataprocessor'!$E$7,'Stationen Abfrage dataprocessor'!$G$7)),"kein_beobachtetes_fenster","definiert"))))</x:f>
        <x:v>definiert</x:v>
      </x:c>
      <x:c r="H17" s="182" t="str">
        <x:v>nein</x:v>
      </x:c>
      <x:c r="I17" s="182" t="str">
        <x:v>nein</x:v>
      </x:c>
      <x:c r="J17" s="182" t="str">
        <x:f>'Stationen Abfrage dataprocessor'!$S$7</x:f>
        <x:v>fallbezogen prüfen</x:v>
      </x:c>
      <x:c r="K17" s="190" t="n">
        <x:f>IF(G17="definiert",F17-E17,"")</x:f>
        <x:v>158</x:v>
      </x:c>
      <x:c r="L17" s="182" t="n">
        <x:v>7</x:v>
      </x:c>
      <x:c r="M17" s="182" t="str">
        <x:f>IF('Stationen Abfrage dataprocessor'!$K$7="","",'Stationen Abfrage dataprocessor'!$K$7)</x:f>
      </x:c>
      <x:c r="N17" s="182" t="str">
        <x:f>Definitionen!$B$2</x:f>
        <x:v>IP-COHORT-2026-10-28-01</x:v>
      </x:c>
    </x:row>
    <x:row r="18" ht="30" customHeight="1">
      <x:c r="A18" s="182" t="str">
        <x:f>'Stationen Abfrage dataprocessor'!$A$7</x:f>
        <x:v>UK Aachen</x:v>
      </x:c>
      <x:c r="B18" s="182" t="str">
        <x:f>'Stationen Abfrage dataprocessor'!$D$7</x:f>
        <x:v>F-01</x:v>
      </x:c>
      <x:c r="C18" s="182" t="str">
        <x:v>RES</x:v>
      </x:c>
      <x:c r="D18" s="182" t="str">
        <x:f>'Stationen Abfrage dataprocessor'!$P$7</x:f>
        <x:v>ja</x:v>
      </x:c>
      <x:c r="E18" s="189" t="n">
        <x:f>IF(G18="definiert",MAX('Stationen Abfrage dataprocessor'!$E$7,'Stationen Abfrage dataprocessor'!$G$7),"")</x:f>
        <x:v>46108</x:v>
      </x:c>
      <x:c r="F18" s="189" t="n">
        <x:f>IF(G18="definiert",'Stationen Abfrage dataprocessor'!$H$7+1,"")</x:f>
        <x:v>46266</x:v>
      </x:c>
      <x:c r="G18" s="182" t="str">
        <x:f>IF(D18="nein","nicht_anwendbar",IF(D18&lt;&gt;"ja","Konfiguration fehlt",IF(OR(NOT(ISNUMBER('Stationen Abfrage dataprocessor'!$E$7)),NOT(ISNUMBER('Stationen Abfrage dataprocessor'!$G$7)),NOT(ISNUMBER('Stationen Abfrage dataprocessor'!$H$7))),"Konfiguration fehlt",IF(('Stationen Abfrage dataprocessor'!$H$7+1)&lt;=(MAX('Stationen Abfrage dataprocessor'!$E$7,'Stationen Abfrage dataprocessor'!$G$7)),"kein_beobachtetes_fenster","definiert"))))</x:f>
        <x:v>definiert</x:v>
      </x:c>
      <x:c r="H18" s="182" t="str">
        <x:v>ja</x:v>
      </x:c>
      <x:c r="I18" s="182" t="str">
        <x:v>ja</x:v>
      </x:c>
      <x:c r="J18" s="182" t="str">
        <x:f>'Stationen Abfrage dataprocessor'!$S$7</x:f>
        <x:v>fallbezogen prüfen</x:v>
      </x:c>
      <x:c r="K18" s="190" t="n">
        <x:f>IF(G18="definiert",F18-E18,"")</x:f>
        <x:v>158</x:v>
      </x:c>
      <x:c r="L18" s="182" t="n">
        <x:v>7</x:v>
      </x:c>
      <x:c r="M18" s="182" t="str">
        <x:f>IF('Stationen Abfrage dataprocessor'!$K$7="","",'Stationen Abfrage dataprocessor'!$K$7)</x:f>
      </x:c>
      <x:c r="N18" s="182" t="str">
        <x:f>Definitionen!$B$2</x:f>
        <x:v>IP-COHORT-2026-10-28-01</x:v>
      </x:c>
    </x:row>
    <x:row r="19" ht="30" customHeight="1">
      <x:c r="A19" s="182" t="str">
        <x:f>'Stationen Abfrage dataprocessor'!$A$7</x:f>
        <x:v>UK Aachen</x:v>
      </x:c>
      <x:c r="B19" s="182" t="str">
        <x:f>'Stationen Abfrage dataprocessor'!$D$7</x:f>
        <x:v>F-01</x:v>
      </x:c>
      <x:c r="C19" s="182" t="str">
        <x:v>TRS</x:v>
      </x:c>
      <x:c r="D19" s="182" t="str">
        <x:f>'Stationen Abfrage dataprocessor'!$Q$7</x:f>
        <x:v>ja</x:v>
      </x:c>
      <x:c r="E19" s="189" t="n">
        <x:f>IF(G19="definiert",'Stationen Abfrage dataprocessor'!$E$7,"")</x:f>
        <x:v>45950</x:v>
      </x:c>
      <x:c r="F19" s="189" t="n">
        <x:f>IF(G19="definiert",'Stationen Abfrage dataprocessor'!$H$7+1,"")</x:f>
        <x:v>46266</x:v>
      </x:c>
      <x:c r="G19" s="182" t="str">
        <x:f>IF(D19="nein","nicht_anwendbar",IF(D19&lt;&gt;"ja","Konfiguration fehlt",IF(OR(NOT(ISNUMBER('Stationen Abfrage dataprocessor'!$E$7)),NOT(ISNUMBER('Stationen Abfrage dataprocessor'!$H$7))),"Konfiguration fehlt",IF(('Stationen Abfrage dataprocessor'!$H$7+1)&lt;=('Stationen Abfrage dataprocessor'!$E$7),"kein_beobachtetes_fenster","definiert"))))</x:f>
        <x:v>definiert</x:v>
      </x:c>
      <x:c r="H19" s="182" t="str">
        <x:v>ja</x:v>
      </x:c>
      <x:c r="I19" s="182" t="str">
        <x:v>nein</x:v>
      </x:c>
      <x:c r="J19" s="182" t="str">
        <x:f>"nicht Voraussetzung"</x:f>
        <x:v>nicht Voraussetzung</x:v>
      </x:c>
      <x:c r="K19" s="190" t="n">
        <x:f>IF(G19="definiert",F19-E19,"")</x:f>
        <x:v>316</x:v>
      </x:c>
      <x:c r="L19" s="182" t="n">
        <x:v>7</x:v>
      </x:c>
      <x:c r="M19" s="182" t="str">
        <x:f>IF('Stationen Abfrage dataprocessor'!$K$7="","",'Stationen Abfrage dataprocessor'!$K$7)</x:f>
      </x:c>
      <x:c r="N19" s="182" t="str">
        <x:f>Definitionen!$B$2</x:f>
        <x:v>IP-COHORT-2026-10-28-01</x:v>
      </x:c>
    </x:row>
    <x:row r="20" ht="30" customHeight="1">
      <x:c r="A20" s="182" t="str">
        <x:f>'Stationen Abfrage dataprocessor'!$A$8</x:f>
        <x:v>UK Aachen</x:v>
      </x:c>
      <x:c r="B20" s="182" t="str">
        <x:f>'Stationen Abfrage dataprocessor'!$D$8</x:f>
        <x:v>THGC</x:v>
      </x:c>
      <x:c r="C20" s="182" t="str">
        <x:v>BS</x:v>
      </x:c>
      <x:c r="D20" s="182" t="str">
        <x:f>'Stationen Abfrage dataprocessor'!$M$8</x:f>
        <x:v>ja</x:v>
      </x:c>
      <x:c r="E20" s="189" t="n">
        <x:f>IF(G20="definiert",'Stationen Abfrage dataprocessor'!$E$8,"")</x:f>
        <x:v>45950</x:v>
      </x:c>
      <x:c r="F20" s="189" t="n">
        <x:f>IF(G20="definiert",IF('Stationen Abfrage dataprocessor'!$T$8="Studienende",'Stationen Abfrage dataprocessor'!$H$8+1,MIN('Stationen Abfrage dataprocessor'!$F$8,'Stationen Abfrage dataprocessor'!$H$8+1)),"")</x:f>
        <x:v>46052</x:v>
      </x:c>
      <x:c r="G20" s="182" t="str">
        <x:f>IF(D20="nein","nicht_anwendbar",IF(D20&lt;&gt;"ja","Konfiguration fehlt",IF(OR(NOT(ISNUMBER('Stationen Abfrage dataprocessor'!$E$8)),NOT(ISNUMBER('Stationen Abfrage dataprocessor'!$H$8)),AND('Stationen Abfrage dataprocessor'!$T$8&lt;&gt;"Phasengrenze",'Stationen Abfrage dataprocessor'!$T$8&lt;&gt;"Studienende"),AND('Stationen Abfrage dataprocessor'!$T$8="Phasengrenze",NOT(ISNUMBER('Stationen Abfrage dataprocessor'!$F$8)))),"Konfiguration fehlt",IF((IF('Stationen Abfrage dataprocessor'!$T$8="Studienende",'Stationen Abfrage dataprocessor'!$H$8+1,MIN('Stationen Abfrage dataprocessor'!$F$8,'Stationen Abfrage dataprocessor'!$H$8+1)))&lt;=('Stationen Abfrage dataprocessor'!$E$8),"kein_beobachtetes_fenster","definiert"))))</x:f>
        <x:v>definiert</x:v>
      </x:c>
      <x:c r="H20" s="182" t="str">
        <x:v>nein</x:v>
      </x:c>
      <x:c r="I20" s="182" t="str">
        <x:v>nein</x:v>
      </x:c>
      <x:c r="J20" s="182" t="str">
        <x:f>"nicht Voraussetzung"</x:f>
        <x:v>nicht Voraussetzung</x:v>
      </x:c>
      <x:c r="K20" s="190" t="n">
        <x:f>IF(G20="definiert",F20-E20,"")</x:f>
        <x:v>102</x:v>
      </x:c>
      <x:c r="L20" s="182" t="n">
        <x:v>8</x:v>
      </x:c>
      <x:c r="M20" s="182" t="str">
        <x:f>IF('Stationen Abfrage dataprocessor'!$K$8="","",'Stationen Abfrage dataprocessor'!$K$8)</x:f>
      </x:c>
      <x:c r="N20" s="182" t="str">
        <x:f>Definitionen!$B$2</x:f>
        <x:v>IP-COHORT-2026-10-28-01</x:v>
      </x:c>
    </x:row>
    <x:row r="21" ht="30" customHeight="1">
      <x:c r="A21" s="182" t="str">
        <x:f>'Stationen Abfrage dataprocessor'!$A$8</x:f>
        <x:v>UK Aachen</x:v>
      </x:c>
      <x:c r="B21" s="182" t="str">
        <x:f>'Stationen Abfrage dataprocessor'!$D$8</x:f>
        <x:v>THGC</x:v>
      </x:c>
      <x:c r="C21" s="182" t="str">
        <x:v>CRS-A</x:v>
      </x:c>
      <x:c r="D21" s="182" t="str">
        <x:f>'Stationen Abfrage dataprocessor'!$N$8</x:f>
        <x:v>ja</x:v>
      </x:c>
      <x:c r="E21" s="189" t="n">
        <x:f>IF(G21="definiert",MAX('Stationen Abfrage dataprocessor'!$E$8,'Stationen Abfrage dataprocessor'!$F$8),"")</x:f>
        <x:v>46052</x:v>
      </x:c>
      <x:c r="F21" s="189" t="n">
        <x:f>IF(G21="definiert",MIN('Stationen Abfrage dataprocessor'!$G$8,'Stationen Abfrage dataprocessor'!$H$8+1),"")</x:f>
        <x:v>46108</x:v>
      </x:c>
      <x:c r="G21" s="182" t="str">
        <x:f>IF(D21="nein","nicht_anwendbar",IF(D21&lt;&gt;"ja","Konfiguration fehlt",IF(OR(NOT(ISNUMBER('Stationen Abfrage dataprocessor'!$E$8)),NOT(ISNUMBER('Stationen Abfrage dataprocessor'!$F$8)),NOT(ISNUMBER('Stationen Abfrage dataprocessor'!$G$8)),NOT(ISNUMBER('Stationen Abfrage dataprocessor'!$H$8))),"Konfiguration fehlt",IF((MIN('Stationen Abfrage dataprocessor'!$G$8,'Stationen Abfrage dataprocessor'!$H$8+1))&lt;=(MAX('Stationen Abfrage dataprocessor'!$E$8,'Stationen Abfrage dataprocessor'!$F$8)),"kein_beobachtetes_fenster","definiert"))))</x:f>
        <x:v>definiert</x:v>
      </x:c>
      <x:c r="H21" s="182" t="str">
        <x:v>nein</x:v>
      </x:c>
      <x:c r="I21" s="182" t="str">
        <x:v>nein</x:v>
      </x:c>
      <x:c r="J21" s="182" t="str">
        <x:f>"nicht Voraussetzung"</x:f>
        <x:v>nicht Voraussetzung</x:v>
      </x:c>
      <x:c r="K21" s="190" t="n">
        <x:f>IF(G21="definiert",F21-E21,"")</x:f>
        <x:v>56</x:v>
      </x:c>
      <x:c r="L21" s="182" t="n">
        <x:v>8</x:v>
      </x:c>
      <x:c r="M21" s="182" t="str">
        <x:f>IF('Stationen Abfrage dataprocessor'!$K$8="","",'Stationen Abfrage dataprocessor'!$K$8)</x:f>
      </x:c>
      <x:c r="N21" s="182" t="str">
        <x:f>Definitionen!$B$2</x:f>
        <x:v>IP-COHORT-2026-10-28-01</x:v>
      </x:c>
    </x:row>
    <x:row r="22" ht="30" customHeight="1">
      <x:c r="A22" s="182" t="str">
        <x:f>'Stationen Abfrage dataprocessor'!$A$8</x:f>
        <x:v>UK Aachen</x:v>
      </x:c>
      <x:c r="B22" s="182" t="str">
        <x:f>'Stationen Abfrage dataprocessor'!$D$8</x:f>
        <x:v>THGC</x:v>
      </x:c>
      <x:c r="C22" s="182" t="str">
        <x:v>CRS-B</x:v>
      </x:c>
      <x:c r="D22" s="182" t="str">
        <x:f>'Stationen Abfrage dataprocessor'!$O$8</x:f>
        <x:v>ja</x:v>
      </x:c>
      <x:c r="E22" s="189" t="n">
        <x:f>IF(G22="definiert",MAX('Stationen Abfrage dataprocessor'!$E$8,'Stationen Abfrage dataprocessor'!$G$8),"")</x:f>
        <x:v>46108</x:v>
      </x:c>
      <x:c r="F22" s="189" t="n">
        <x:f>IF(G22="definiert",'Stationen Abfrage dataprocessor'!$H$8+1,"")</x:f>
        <x:v>46266</x:v>
      </x:c>
      <x:c r="G22" s="182" t="str">
        <x:f>IF(D22="nein","nicht_anwendbar",IF(D22&lt;&gt;"ja","Konfiguration fehlt",IF(OR(NOT(ISNUMBER('Stationen Abfrage dataprocessor'!$E$8)),NOT(ISNUMBER('Stationen Abfrage dataprocessor'!$G$8)),NOT(ISNUMBER('Stationen Abfrage dataprocessor'!$H$8))),"Konfiguration fehlt",IF(('Stationen Abfrage dataprocessor'!$H$8+1)&lt;=(MAX('Stationen Abfrage dataprocessor'!$E$8,'Stationen Abfrage dataprocessor'!$G$8)),"kein_beobachtetes_fenster","definiert"))))</x:f>
        <x:v>definiert</x:v>
      </x:c>
      <x:c r="H22" s="182" t="str">
        <x:v>nein</x:v>
      </x:c>
      <x:c r="I22" s="182" t="str">
        <x:v>nein</x:v>
      </x:c>
      <x:c r="J22" s="182" t="str">
        <x:f>'Stationen Abfrage dataprocessor'!$S$8</x:f>
        <x:v>fallbezogen prüfen</x:v>
      </x:c>
      <x:c r="K22" s="190" t="n">
        <x:f>IF(G22="definiert",F22-E22,"")</x:f>
        <x:v>158</x:v>
      </x:c>
      <x:c r="L22" s="182" t="n">
        <x:v>8</x:v>
      </x:c>
      <x:c r="M22" s="182" t="str">
        <x:f>IF('Stationen Abfrage dataprocessor'!$K$8="","",'Stationen Abfrage dataprocessor'!$K$8)</x:f>
      </x:c>
      <x:c r="N22" s="182" t="str">
        <x:f>Definitionen!$B$2</x:f>
        <x:v>IP-COHORT-2026-10-28-01</x:v>
      </x:c>
    </x:row>
    <x:row r="23" ht="30" customHeight="1">
      <x:c r="A23" s="182" t="str">
        <x:f>'Stationen Abfrage dataprocessor'!$A$8</x:f>
        <x:v>UK Aachen</x:v>
      </x:c>
      <x:c r="B23" s="182" t="str">
        <x:f>'Stationen Abfrage dataprocessor'!$D$8</x:f>
        <x:v>THGC</x:v>
      </x:c>
      <x:c r="C23" s="182" t="str">
        <x:v>RES</x:v>
      </x:c>
      <x:c r="D23" s="182" t="str">
        <x:f>'Stationen Abfrage dataprocessor'!$P$8</x:f>
        <x:v>ja</x:v>
      </x:c>
      <x:c r="E23" s="189" t="n">
        <x:f>IF(G23="definiert",MAX('Stationen Abfrage dataprocessor'!$E$8,'Stationen Abfrage dataprocessor'!$G$8),"")</x:f>
        <x:v>46108</x:v>
      </x:c>
      <x:c r="F23" s="189" t="n">
        <x:f>IF(G23="definiert",'Stationen Abfrage dataprocessor'!$H$8+1,"")</x:f>
        <x:v>46266</x:v>
      </x:c>
      <x:c r="G23" s="182" t="str">
        <x:f>IF(D23="nein","nicht_anwendbar",IF(D23&lt;&gt;"ja","Konfiguration fehlt",IF(OR(NOT(ISNUMBER('Stationen Abfrage dataprocessor'!$E$8)),NOT(ISNUMBER('Stationen Abfrage dataprocessor'!$G$8)),NOT(ISNUMBER('Stationen Abfrage dataprocessor'!$H$8))),"Konfiguration fehlt",IF(('Stationen Abfrage dataprocessor'!$H$8+1)&lt;=(MAX('Stationen Abfrage dataprocessor'!$E$8,'Stationen Abfrage dataprocessor'!$G$8)),"kein_beobachtetes_fenster","definiert"))))</x:f>
        <x:v>definiert</x:v>
      </x:c>
      <x:c r="H23" s="182" t="str">
        <x:v>ja</x:v>
      </x:c>
      <x:c r="I23" s="182" t="str">
        <x:v>ja</x:v>
      </x:c>
      <x:c r="J23" s="182" t="str">
        <x:f>'Stationen Abfrage dataprocessor'!$S$8</x:f>
        <x:v>fallbezogen prüfen</x:v>
      </x:c>
      <x:c r="K23" s="190" t="n">
        <x:f>IF(G23="definiert",F23-E23,"")</x:f>
        <x:v>158</x:v>
      </x:c>
      <x:c r="L23" s="182" t="n">
        <x:v>8</x:v>
      </x:c>
      <x:c r="M23" s="182" t="str">
        <x:f>IF('Stationen Abfrage dataprocessor'!$K$8="","",'Stationen Abfrage dataprocessor'!$K$8)</x:f>
      </x:c>
      <x:c r="N23" s="182" t="str">
        <x:f>Definitionen!$B$2</x:f>
        <x:v>IP-COHORT-2026-10-28-01</x:v>
      </x:c>
    </x:row>
    <x:row r="24" ht="30" customHeight="1">
      <x:c r="A24" s="182" t="str">
        <x:f>'Stationen Abfrage dataprocessor'!$A$8</x:f>
        <x:v>UK Aachen</x:v>
      </x:c>
      <x:c r="B24" s="182" t="str">
        <x:f>'Stationen Abfrage dataprocessor'!$D$8</x:f>
        <x:v>THGC</x:v>
      </x:c>
      <x:c r="C24" s="182" t="str">
        <x:v>TRS</x:v>
      </x:c>
      <x:c r="D24" s="182" t="str">
        <x:f>'Stationen Abfrage dataprocessor'!$Q$8</x:f>
        <x:v>ja</x:v>
      </x:c>
      <x:c r="E24" s="189" t="n">
        <x:f>IF(G24="definiert",'Stationen Abfrage dataprocessor'!$E$8,"")</x:f>
        <x:v>45950</x:v>
      </x:c>
      <x:c r="F24" s="189" t="n">
        <x:f>IF(G24="definiert",'Stationen Abfrage dataprocessor'!$H$8+1,"")</x:f>
        <x:v>46266</x:v>
      </x:c>
      <x:c r="G24" s="182" t="str">
        <x:f>IF(D24="nein","nicht_anwendbar",IF(D24&lt;&gt;"ja","Konfiguration fehlt",IF(OR(NOT(ISNUMBER('Stationen Abfrage dataprocessor'!$E$8)),NOT(ISNUMBER('Stationen Abfrage dataprocessor'!$H$8))),"Konfiguration fehlt",IF(('Stationen Abfrage dataprocessor'!$H$8+1)&lt;=('Stationen Abfrage dataprocessor'!$E$8),"kein_beobachtetes_fenster","definiert"))))</x:f>
        <x:v>definiert</x:v>
      </x:c>
      <x:c r="H24" s="182" t="str">
        <x:v>ja</x:v>
      </x:c>
      <x:c r="I24" s="182" t="str">
        <x:v>nein</x:v>
      </x:c>
      <x:c r="J24" s="182" t="str">
        <x:f>"nicht Voraussetzung"</x:f>
        <x:v>nicht Voraussetzung</x:v>
      </x:c>
      <x:c r="K24" s="190" t="n">
        <x:f>IF(G24="definiert",F24-E24,"")</x:f>
        <x:v>316</x:v>
      </x:c>
      <x:c r="L24" s="182" t="n">
        <x:v>8</x:v>
      </x:c>
      <x:c r="M24" s="182" t="str">
        <x:f>IF('Stationen Abfrage dataprocessor'!$K$8="","",'Stationen Abfrage dataprocessor'!$K$8)</x:f>
      </x:c>
      <x:c r="N24" s="182" t="str">
        <x:f>Definitionen!$B$2</x:f>
        <x:v>IP-COHORT-2026-10-28-01</x:v>
      </x:c>
    </x:row>
    <x:row r="25" ht="30" customHeight="1">
      <x:c r="A25" s="182" t="str">
        <x:f>'Stationen Abfrage dataprocessor'!$A$9</x:f>
        <x:v>UK Aachen</x:v>
      </x:c>
      <x:c r="B25" s="182" t="str">
        <x:f>'Stationen Abfrage dataprocessor'!$D$9</x:f>
        <x:v>UR01</x:v>
      </x:c>
      <x:c r="C25" s="182" t="str">
        <x:v>BS</x:v>
      </x:c>
      <x:c r="D25" s="182" t="str">
        <x:f>'Stationen Abfrage dataprocessor'!$M$9</x:f>
        <x:v>ja</x:v>
      </x:c>
      <x:c r="E25" s="189" t="n">
        <x:f>IF(G25="definiert",'Stationen Abfrage dataprocessor'!$E$9,"")</x:f>
        <x:v>45981</x:v>
      </x:c>
      <x:c r="F25" s="189" t="n">
        <x:f>IF(G25="definiert",IF('Stationen Abfrage dataprocessor'!$T$9="Studienende",'Stationen Abfrage dataprocessor'!$H$9+1,MIN('Stationen Abfrage dataprocessor'!$F$9,'Stationen Abfrage dataprocessor'!$H$9+1)),"")</x:f>
        <x:v>46052</x:v>
      </x:c>
      <x:c r="G25" s="182" t="str">
        <x:f>IF(D25="nein","nicht_anwendbar",IF(D25&lt;&gt;"ja","Konfiguration fehlt",IF(OR(NOT(ISNUMBER('Stationen Abfrage dataprocessor'!$E$9)),NOT(ISNUMBER('Stationen Abfrage dataprocessor'!$H$9)),AND('Stationen Abfrage dataprocessor'!$T$9&lt;&gt;"Phasengrenze",'Stationen Abfrage dataprocessor'!$T$9&lt;&gt;"Studienende"),AND('Stationen Abfrage dataprocessor'!$T$9="Phasengrenze",NOT(ISNUMBER('Stationen Abfrage dataprocessor'!$F$9)))),"Konfiguration fehlt",IF((IF('Stationen Abfrage dataprocessor'!$T$9="Studienende",'Stationen Abfrage dataprocessor'!$H$9+1,MIN('Stationen Abfrage dataprocessor'!$F$9,'Stationen Abfrage dataprocessor'!$H$9+1)))&lt;=('Stationen Abfrage dataprocessor'!$E$9),"kein_beobachtetes_fenster","definiert"))))</x:f>
        <x:v>definiert</x:v>
      </x:c>
      <x:c r="H25" s="182" t="str">
        <x:v>nein</x:v>
      </x:c>
      <x:c r="I25" s="182" t="str">
        <x:v>nein</x:v>
      </x:c>
      <x:c r="J25" s="182" t="str">
        <x:f>"nicht Voraussetzung"</x:f>
        <x:v>nicht Voraussetzung</x:v>
      </x:c>
      <x:c r="K25" s="190" t="n">
        <x:f>IF(G25="definiert",F25-E25,"")</x:f>
        <x:v>71</x:v>
      </x:c>
      <x:c r="L25" s="182" t="n">
        <x:v>9</x:v>
      </x:c>
      <x:c r="M25" s="182" t="str">
        <x:f>IF('Stationen Abfrage dataprocessor'!$K$9="","",'Stationen Abfrage dataprocessor'!$K$9)</x:f>
      </x:c>
      <x:c r="N25" s="182" t="str">
        <x:f>Definitionen!$B$2</x:f>
        <x:v>IP-COHORT-2026-10-28-01</x:v>
      </x:c>
    </x:row>
    <x:row r="26" ht="30" customHeight="1">
      <x:c r="A26" s="182" t="str">
        <x:f>'Stationen Abfrage dataprocessor'!$A$9</x:f>
        <x:v>UK Aachen</x:v>
      </x:c>
      <x:c r="B26" s="182" t="str">
        <x:f>'Stationen Abfrage dataprocessor'!$D$9</x:f>
        <x:v>UR01</x:v>
      </x:c>
      <x:c r="C26" s="182" t="str">
        <x:v>CRS-A</x:v>
      </x:c>
      <x:c r="D26" s="182" t="str">
        <x:f>'Stationen Abfrage dataprocessor'!$N$9</x:f>
        <x:v>ja</x:v>
      </x:c>
      <x:c r="E26" s="189" t="n">
        <x:f>IF(G26="definiert",MAX('Stationen Abfrage dataprocessor'!$E$9,'Stationen Abfrage dataprocessor'!$F$9),"")</x:f>
        <x:v>46052</x:v>
      </x:c>
      <x:c r="F26" s="189" t="n">
        <x:f>IF(G26="definiert",MIN('Stationen Abfrage dataprocessor'!$G$9,'Stationen Abfrage dataprocessor'!$H$9+1),"")</x:f>
        <x:v>46136</x:v>
      </x:c>
      <x:c r="G26" s="182" t="str">
        <x:f>IF(D26="nein","nicht_anwendbar",IF(D26&lt;&gt;"ja","Konfiguration fehlt",IF(OR(NOT(ISNUMBER('Stationen Abfrage dataprocessor'!$E$9)),NOT(ISNUMBER('Stationen Abfrage dataprocessor'!$F$9)),NOT(ISNUMBER('Stationen Abfrage dataprocessor'!$G$9)),NOT(ISNUMBER('Stationen Abfrage dataprocessor'!$H$9))),"Konfiguration fehlt",IF((MIN('Stationen Abfrage dataprocessor'!$G$9,'Stationen Abfrage dataprocessor'!$H$9+1))&lt;=(MAX('Stationen Abfrage dataprocessor'!$E$9,'Stationen Abfrage dataprocessor'!$F$9)),"kein_beobachtetes_fenster","definiert"))))</x:f>
        <x:v>definiert</x:v>
      </x:c>
      <x:c r="H26" s="182" t="str">
        <x:v>nein</x:v>
      </x:c>
      <x:c r="I26" s="182" t="str">
        <x:v>nein</x:v>
      </x:c>
      <x:c r="J26" s="182" t="str">
        <x:f>"nicht Voraussetzung"</x:f>
        <x:v>nicht Voraussetzung</x:v>
      </x:c>
      <x:c r="K26" s="190" t="n">
        <x:f>IF(G26="definiert",F26-E26,"")</x:f>
        <x:v>84</x:v>
      </x:c>
      <x:c r="L26" s="182" t="n">
        <x:v>9</x:v>
      </x:c>
      <x:c r="M26" s="182" t="str">
        <x:f>IF('Stationen Abfrage dataprocessor'!$K$9="","",'Stationen Abfrage dataprocessor'!$K$9)</x:f>
      </x:c>
      <x:c r="N26" s="182" t="str">
        <x:f>Definitionen!$B$2</x:f>
        <x:v>IP-COHORT-2026-10-28-01</x:v>
      </x:c>
    </x:row>
    <x:row r="27" ht="30" customHeight="1">
      <x:c r="A27" s="182" t="str">
        <x:f>'Stationen Abfrage dataprocessor'!$A$9</x:f>
        <x:v>UK Aachen</x:v>
      </x:c>
      <x:c r="B27" s="182" t="str">
        <x:f>'Stationen Abfrage dataprocessor'!$D$9</x:f>
        <x:v>UR01</x:v>
      </x:c>
      <x:c r="C27" s="182" t="str">
        <x:v>CRS-B</x:v>
      </x:c>
      <x:c r="D27" s="182" t="str">
        <x:f>'Stationen Abfrage dataprocessor'!$O$9</x:f>
        <x:v>ja</x:v>
      </x:c>
      <x:c r="E27" s="189" t="n">
        <x:f>IF(G27="definiert",MAX('Stationen Abfrage dataprocessor'!$E$9,'Stationen Abfrage dataprocessor'!$G$9),"")</x:f>
        <x:v>46136</x:v>
      </x:c>
      <x:c r="F27" s="189" t="n">
        <x:f>IF(G27="definiert",'Stationen Abfrage dataprocessor'!$H$9+1,"")</x:f>
        <x:v>46266</x:v>
      </x:c>
      <x:c r="G27" s="182" t="str">
        <x:f>IF(D27="nein","nicht_anwendbar",IF(D27&lt;&gt;"ja","Konfiguration fehlt",IF(OR(NOT(ISNUMBER('Stationen Abfrage dataprocessor'!$E$9)),NOT(ISNUMBER('Stationen Abfrage dataprocessor'!$G$9)),NOT(ISNUMBER('Stationen Abfrage dataprocessor'!$H$9))),"Konfiguration fehlt",IF(('Stationen Abfrage dataprocessor'!$H$9+1)&lt;=(MAX('Stationen Abfrage dataprocessor'!$E$9,'Stationen Abfrage dataprocessor'!$G$9)),"kein_beobachtetes_fenster","definiert"))))</x:f>
        <x:v>definiert</x:v>
      </x:c>
      <x:c r="H27" s="182" t="str">
        <x:v>nein</x:v>
      </x:c>
      <x:c r="I27" s="182" t="str">
        <x:v>nein</x:v>
      </x:c>
      <x:c r="J27" s="182" t="str">
        <x:f>'Stationen Abfrage dataprocessor'!$S$9</x:f>
        <x:v>fallbezogen prüfen</x:v>
      </x:c>
      <x:c r="K27" s="190" t="n">
        <x:f>IF(G27="definiert",F27-E27,"")</x:f>
        <x:v>130</x:v>
      </x:c>
      <x:c r="L27" s="182" t="n">
        <x:v>9</x:v>
      </x:c>
      <x:c r="M27" s="182" t="str">
        <x:f>IF('Stationen Abfrage dataprocessor'!$K$9="","",'Stationen Abfrage dataprocessor'!$K$9)</x:f>
      </x:c>
      <x:c r="N27" s="182" t="str">
        <x:f>Definitionen!$B$2</x:f>
        <x:v>IP-COHORT-2026-10-28-01</x:v>
      </x:c>
    </x:row>
    <x:row r="28" ht="30" customHeight="1">
      <x:c r="A28" s="182" t="str">
        <x:f>'Stationen Abfrage dataprocessor'!$A$9</x:f>
        <x:v>UK Aachen</x:v>
      </x:c>
      <x:c r="B28" s="182" t="str">
        <x:f>'Stationen Abfrage dataprocessor'!$D$9</x:f>
        <x:v>UR01</x:v>
      </x:c>
      <x:c r="C28" s="182" t="str">
        <x:v>RES</x:v>
      </x:c>
      <x:c r="D28" s="182" t="str">
        <x:f>'Stationen Abfrage dataprocessor'!$P$9</x:f>
        <x:v>ja</x:v>
      </x:c>
      <x:c r="E28" s="189" t="n">
        <x:f>IF(G28="definiert",MAX('Stationen Abfrage dataprocessor'!$E$9,'Stationen Abfrage dataprocessor'!$G$9),"")</x:f>
        <x:v>46136</x:v>
      </x:c>
      <x:c r="F28" s="189" t="n">
        <x:f>IF(G28="definiert",'Stationen Abfrage dataprocessor'!$H$9+1,"")</x:f>
        <x:v>46266</x:v>
      </x:c>
      <x:c r="G28" s="182" t="str">
        <x:f>IF(D28="nein","nicht_anwendbar",IF(D28&lt;&gt;"ja","Konfiguration fehlt",IF(OR(NOT(ISNUMBER('Stationen Abfrage dataprocessor'!$E$9)),NOT(ISNUMBER('Stationen Abfrage dataprocessor'!$G$9)),NOT(ISNUMBER('Stationen Abfrage dataprocessor'!$H$9))),"Konfiguration fehlt",IF(('Stationen Abfrage dataprocessor'!$H$9+1)&lt;=(MAX('Stationen Abfrage dataprocessor'!$E$9,'Stationen Abfrage dataprocessor'!$G$9)),"kein_beobachtetes_fenster","definiert"))))</x:f>
        <x:v>definiert</x:v>
      </x:c>
      <x:c r="H28" s="182" t="str">
        <x:v>ja</x:v>
      </x:c>
      <x:c r="I28" s="182" t="str">
        <x:v>ja</x:v>
      </x:c>
      <x:c r="J28" s="182" t="str">
        <x:f>'Stationen Abfrage dataprocessor'!$S$9</x:f>
        <x:v>fallbezogen prüfen</x:v>
      </x:c>
      <x:c r="K28" s="190" t="n">
        <x:f>IF(G28="definiert",F28-E28,"")</x:f>
        <x:v>130</x:v>
      </x:c>
      <x:c r="L28" s="182" t="n">
        <x:v>9</x:v>
      </x:c>
      <x:c r="M28" s="182" t="str">
        <x:f>IF('Stationen Abfrage dataprocessor'!$K$9="","",'Stationen Abfrage dataprocessor'!$K$9)</x:f>
      </x:c>
      <x:c r="N28" s="182" t="str">
        <x:f>Definitionen!$B$2</x:f>
        <x:v>IP-COHORT-2026-10-28-01</x:v>
      </x:c>
    </x:row>
    <x:row r="29" ht="30" customHeight="1">
      <x:c r="A29" s="182" t="str">
        <x:f>'Stationen Abfrage dataprocessor'!$A$9</x:f>
        <x:v>UK Aachen</x:v>
      </x:c>
      <x:c r="B29" s="182" t="str">
        <x:f>'Stationen Abfrage dataprocessor'!$D$9</x:f>
        <x:v>UR01</x:v>
      </x:c>
      <x:c r="C29" s="182" t="str">
        <x:v>TRS</x:v>
      </x:c>
      <x:c r="D29" s="182" t="str">
        <x:f>'Stationen Abfrage dataprocessor'!$Q$9</x:f>
        <x:v>ja</x:v>
      </x:c>
      <x:c r="E29" s="189" t="n">
        <x:f>IF(G29="definiert",'Stationen Abfrage dataprocessor'!$E$9,"")</x:f>
        <x:v>45981</x:v>
      </x:c>
      <x:c r="F29" s="189" t="n">
        <x:f>IF(G29="definiert",'Stationen Abfrage dataprocessor'!$H$9+1,"")</x:f>
        <x:v>46266</x:v>
      </x:c>
      <x:c r="G29" s="182" t="str">
        <x:f>IF(D29="nein","nicht_anwendbar",IF(D29&lt;&gt;"ja","Konfiguration fehlt",IF(OR(NOT(ISNUMBER('Stationen Abfrage dataprocessor'!$E$9)),NOT(ISNUMBER('Stationen Abfrage dataprocessor'!$H$9))),"Konfiguration fehlt",IF(('Stationen Abfrage dataprocessor'!$H$9+1)&lt;=('Stationen Abfrage dataprocessor'!$E$9),"kein_beobachtetes_fenster","definiert"))))</x:f>
        <x:v>definiert</x:v>
      </x:c>
      <x:c r="H29" s="182" t="str">
        <x:v>ja</x:v>
      </x:c>
      <x:c r="I29" s="182" t="str">
        <x:v>nein</x:v>
      </x:c>
      <x:c r="J29" s="182" t="str">
        <x:f>"nicht Voraussetzung"</x:f>
        <x:v>nicht Voraussetzung</x:v>
      </x:c>
      <x:c r="K29" s="190" t="n">
        <x:f>IF(G29="definiert",F29-E29,"")</x:f>
        <x:v>285</x:v>
      </x:c>
      <x:c r="L29" s="182" t="n">
        <x:v>9</x:v>
      </x:c>
      <x:c r="M29" s="182" t="str">
        <x:f>IF('Stationen Abfrage dataprocessor'!$K$9="","",'Stationen Abfrage dataprocessor'!$K$9)</x:f>
      </x:c>
      <x:c r="N29" s="182" t="str">
        <x:f>Definitionen!$B$2</x:f>
        <x:v>IP-COHORT-2026-10-28-01</x:v>
      </x:c>
    </x:row>
    <x:row r="30" ht="30" customHeight="1">
      <x:c r="A30" s="182" t="str">
        <x:f>'Stationen Abfrage dataprocessor'!$A$10</x:f>
        <x:v>UK Aachen</x:v>
      </x:c>
      <x:c r="B30" s="182" t="str">
        <x:f>'Stationen Abfrage dataprocessor'!$D$10</x:f>
        <x:v>PS04</x:v>
      </x:c>
      <x:c r="C30" s="182" t="str">
        <x:v>BS</x:v>
      </x:c>
      <x:c r="D30" s="182" t="str">
        <x:f>'Stationen Abfrage dataprocessor'!$M$10</x:f>
        <x:v>ja</x:v>
      </x:c>
      <x:c r="E30" s="189" t="n">
        <x:f>IF(G30="definiert",'Stationen Abfrage dataprocessor'!$E$10,"")</x:f>
        <x:v>45981</x:v>
      </x:c>
      <x:c r="F30" s="189" t="n">
        <x:f>IF(G30="definiert",IF('Stationen Abfrage dataprocessor'!$T$10="Studienende",'Stationen Abfrage dataprocessor'!$H$10+1,MIN('Stationen Abfrage dataprocessor'!$F$10,'Stationen Abfrage dataprocessor'!$H$10+1)),"")</x:f>
        <x:v>46052</x:v>
      </x:c>
      <x:c r="G30" s="182" t="str">
        <x:f>IF(D30="nein","nicht_anwendbar",IF(D30&lt;&gt;"ja","Konfiguration fehlt",IF(OR(NOT(ISNUMBER('Stationen Abfrage dataprocessor'!$E$10)),NOT(ISNUMBER('Stationen Abfrage dataprocessor'!$H$10)),AND('Stationen Abfrage dataprocessor'!$T$10&lt;&gt;"Phasengrenze",'Stationen Abfrage dataprocessor'!$T$10&lt;&gt;"Studienende"),AND('Stationen Abfrage dataprocessor'!$T$10="Phasengrenze",NOT(ISNUMBER('Stationen Abfrage dataprocessor'!$F$10)))),"Konfiguration fehlt",IF((IF('Stationen Abfrage dataprocessor'!$T$10="Studienende",'Stationen Abfrage dataprocessor'!$H$10+1,MIN('Stationen Abfrage dataprocessor'!$F$10,'Stationen Abfrage dataprocessor'!$H$10+1)))&lt;=('Stationen Abfrage dataprocessor'!$E$10),"kein_beobachtetes_fenster","definiert"))))</x:f>
        <x:v>definiert</x:v>
      </x:c>
      <x:c r="H30" s="182" t="str">
        <x:v>nein</x:v>
      </x:c>
      <x:c r="I30" s="182" t="str">
        <x:v>nein</x:v>
      </x:c>
      <x:c r="J30" s="182" t="str">
        <x:f>"nicht Voraussetzung"</x:f>
        <x:v>nicht Voraussetzung</x:v>
      </x:c>
      <x:c r="K30" s="190" t="n">
        <x:f>IF(G30="definiert",F30-E30,"")</x:f>
        <x:v>71</x:v>
      </x:c>
      <x:c r="L30" s="182" t="n">
        <x:v>10</x:v>
      </x:c>
      <x:c r="M30" s="182" t="str">
        <x:f>IF('Stationen Abfrage dataprocessor'!$K$10="","",'Stationen Abfrage dataprocessor'!$K$10)</x:f>
      </x:c>
      <x:c r="N30" s="182" t="str">
        <x:f>Definitionen!$B$2</x:f>
        <x:v>IP-COHORT-2026-10-28-01</x:v>
      </x:c>
    </x:row>
    <x:row r="31" ht="30" customHeight="1">
      <x:c r="A31" s="182" t="str">
        <x:f>'Stationen Abfrage dataprocessor'!$A$10</x:f>
        <x:v>UK Aachen</x:v>
      </x:c>
      <x:c r="B31" s="182" t="str">
        <x:f>'Stationen Abfrage dataprocessor'!$D$10</x:f>
        <x:v>PS04</x:v>
      </x:c>
      <x:c r="C31" s="182" t="str">
        <x:v>CRS-A</x:v>
      </x:c>
      <x:c r="D31" s="182" t="str">
        <x:f>'Stationen Abfrage dataprocessor'!$N$10</x:f>
        <x:v>ja</x:v>
      </x:c>
      <x:c r="E31" s="189" t="n">
        <x:f>IF(G31="definiert",MAX('Stationen Abfrage dataprocessor'!$E$10,'Stationen Abfrage dataprocessor'!$F$10),"")</x:f>
        <x:v>46052</x:v>
      </x:c>
      <x:c r="F31" s="189" t="n">
        <x:f>IF(G31="definiert",MIN('Stationen Abfrage dataprocessor'!$G$10,'Stationen Abfrage dataprocessor'!$H$10+1),"")</x:f>
        <x:v>46164</x:v>
      </x:c>
      <x:c r="G31" s="182" t="str">
        <x:f>IF(D31="nein","nicht_anwendbar",IF(D31&lt;&gt;"ja","Konfiguration fehlt",IF(OR(NOT(ISNUMBER('Stationen Abfrage dataprocessor'!$E$10)),NOT(ISNUMBER('Stationen Abfrage dataprocessor'!$F$10)),NOT(ISNUMBER('Stationen Abfrage dataprocessor'!$G$10)),NOT(ISNUMBER('Stationen Abfrage dataprocessor'!$H$10))),"Konfiguration fehlt",IF((MIN('Stationen Abfrage dataprocessor'!$G$10,'Stationen Abfrage dataprocessor'!$H$10+1))&lt;=(MAX('Stationen Abfrage dataprocessor'!$E$10,'Stationen Abfrage dataprocessor'!$F$10)),"kein_beobachtetes_fenster","definiert"))))</x:f>
        <x:v>definiert</x:v>
      </x:c>
      <x:c r="H31" s="182" t="str">
        <x:v>nein</x:v>
      </x:c>
      <x:c r="I31" s="182" t="str">
        <x:v>nein</x:v>
      </x:c>
      <x:c r="J31" s="182" t="str">
        <x:f>"nicht Voraussetzung"</x:f>
        <x:v>nicht Voraussetzung</x:v>
      </x:c>
      <x:c r="K31" s="190" t="n">
        <x:f>IF(G31="definiert",F31-E31,"")</x:f>
        <x:v>112</x:v>
      </x:c>
      <x:c r="L31" s="182" t="n">
        <x:v>10</x:v>
      </x:c>
      <x:c r="M31" s="182" t="str">
        <x:f>IF('Stationen Abfrage dataprocessor'!$K$10="","",'Stationen Abfrage dataprocessor'!$K$10)</x:f>
      </x:c>
      <x:c r="N31" s="182" t="str">
        <x:f>Definitionen!$B$2</x:f>
        <x:v>IP-COHORT-2026-10-28-01</x:v>
      </x:c>
    </x:row>
    <x:row r="32" ht="30" customHeight="1">
      <x:c r="A32" s="182" t="str">
        <x:f>'Stationen Abfrage dataprocessor'!$A$10</x:f>
        <x:v>UK Aachen</x:v>
      </x:c>
      <x:c r="B32" s="182" t="str">
        <x:f>'Stationen Abfrage dataprocessor'!$D$10</x:f>
        <x:v>PS04</x:v>
      </x:c>
      <x:c r="C32" s="182" t="str">
        <x:v>CRS-B</x:v>
      </x:c>
      <x:c r="D32" s="182" t="str">
        <x:f>'Stationen Abfrage dataprocessor'!$O$10</x:f>
        <x:v>ja</x:v>
      </x:c>
      <x:c r="E32" s="189" t="n">
        <x:f>IF(G32="definiert",MAX('Stationen Abfrage dataprocessor'!$E$10,'Stationen Abfrage dataprocessor'!$G$10),"")</x:f>
        <x:v>46164</x:v>
      </x:c>
      <x:c r="F32" s="189" t="n">
        <x:f>IF(G32="definiert",'Stationen Abfrage dataprocessor'!$H$10+1,"")</x:f>
        <x:v>46266</x:v>
      </x:c>
      <x:c r="G32" s="182" t="str">
        <x:f>IF(D32="nein","nicht_anwendbar",IF(D32&lt;&gt;"ja","Konfiguration fehlt",IF(OR(NOT(ISNUMBER('Stationen Abfrage dataprocessor'!$E$10)),NOT(ISNUMBER('Stationen Abfrage dataprocessor'!$G$10)),NOT(ISNUMBER('Stationen Abfrage dataprocessor'!$H$10))),"Konfiguration fehlt",IF(('Stationen Abfrage dataprocessor'!$H$10+1)&lt;=(MAX('Stationen Abfrage dataprocessor'!$E$10,'Stationen Abfrage dataprocessor'!$G$10)),"kein_beobachtetes_fenster","definiert"))))</x:f>
        <x:v>definiert</x:v>
      </x:c>
      <x:c r="H32" s="182" t="str">
        <x:v>nein</x:v>
      </x:c>
      <x:c r="I32" s="182" t="str">
        <x:v>nein</x:v>
      </x:c>
      <x:c r="J32" s="182" t="str">
        <x:f>'Stationen Abfrage dataprocessor'!$S$10</x:f>
        <x:v>fallbezogen prüfen</x:v>
      </x:c>
      <x:c r="K32" s="190" t="n">
        <x:f>IF(G32="definiert",F32-E32,"")</x:f>
        <x:v>102</x:v>
      </x:c>
      <x:c r="L32" s="182" t="n">
        <x:v>10</x:v>
      </x:c>
      <x:c r="M32" s="182" t="str">
        <x:f>IF('Stationen Abfrage dataprocessor'!$K$10="","",'Stationen Abfrage dataprocessor'!$K$10)</x:f>
      </x:c>
      <x:c r="N32" s="182" t="str">
        <x:f>Definitionen!$B$2</x:f>
        <x:v>IP-COHORT-2026-10-28-01</x:v>
      </x:c>
    </x:row>
    <x:row r="33" ht="30" customHeight="1">
      <x:c r="A33" s="182" t="str">
        <x:f>'Stationen Abfrage dataprocessor'!$A$10</x:f>
        <x:v>UK Aachen</x:v>
      </x:c>
      <x:c r="B33" s="182" t="str">
        <x:f>'Stationen Abfrage dataprocessor'!$D$10</x:f>
        <x:v>PS04</x:v>
      </x:c>
      <x:c r="C33" s="182" t="str">
        <x:v>RES</x:v>
      </x:c>
      <x:c r="D33" s="182" t="str">
        <x:f>'Stationen Abfrage dataprocessor'!$P$10</x:f>
        <x:v>ja</x:v>
      </x:c>
      <x:c r="E33" s="189" t="n">
        <x:f>IF(G33="definiert",MAX('Stationen Abfrage dataprocessor'!$E$10,'Stationen Abfrage dataprocessor'!$G$10),"")</x:f>
        <x:v>46164</x:v>
      </x:c>
      <x:c r="F33" s="189" t="n">
        <x:f>IF(G33="definiert",'Stationen Abfrage dataprocessor'!$H$10+1,"")</x:f>
        <x:v>46266</x:v>
      </x:c>
      <x:c r="G33" s="182" t="str">
        <x:f>IF(D33="nein","nicht_anwendbar",IF(D33&lt;&gt;"ja","Konfiguration fehlt",IF(OR(NOT(ISNUMBER('Stationen Abfrage dataprocessor'!$E$10)),NOT(ISNUMBER('Stationen Abfrage dataprocessor'!$G$10)),NOT(ISNUMBER('Stationen Abfrage dataprocessor'!$H$10))),"Konfiguration fehlt",IF(('Stationen Abfrage dataprocessor'!$H$10+1)&lt;=(MAX('Stationen Abfrage dataprocessor'!$E$10,'Stationen Abfrage dataprocessor'!$G$10)),"kein_beobachtetes_fenster","definiert"))))</x:f>
        <x:v>definiert</x:v>
      </x:c>
      <x:c r="H33" s="182" t="str">
        <x:v>ja</x:v>
      </x:c>
      <x:c r="I33" s="182" t="str">
        <x:v>ja</x:v>
      </x:c>
      <x:c r="J33" s="182" t="str">
        <x:f>'Stationen Abfrage dataprocessor'!$S$10</x:f>
        <x:v>fallbezogen prüfen</x:v>
      </x:c>
      <x:c r="K33" s="190" t="n">
        <x:f>IF(G33="definiert",F33-E33,"")</x:f>
        <x:v>102</x:v>
      </x:c>
      <x:c r="L33" s="182" t="n">
        <x:v>10</x:v>
      </x:c>
      <x:c r="M33" s="182" t="str">
        <x:f>IF('Stationen Abfrage dataprocessor'!$K$10="","",'Stationen Abfrage dataprocessor'!$K$10)</x:f>
      </x:c>
      <x:c r="N33" s="182" t="str">
        <x:f>Definitionen!$B$2</x:f>
        <x:v>IP-COHORT-2026-10-28-01</x:v>
      </x:c>
    </x:row>
    <x:row r="34" ht="30" customHeight="1">
      <x:c r="A34" s="182" t="str">
        <x:f>'Stationen Abfrage dataprocessor'!$A$10</x:f>
        <x:v>UK Aachen</x:v>
      </x:c>
      <x:c r="B34" s="182" t="str">
        <x:f>'Stationen Abfrage dataprocessor'!$D$10</x:f>
        <x:v>PS04</x:v>
      </x:c>
      <x:c r="C34" s="182" t="str">
        <x:v>TRS</x:v>
      </x:c>
      <x:c r="D34" s="182" t="str">
        <x:f>'Stationen Abfrage dataprocessor'!$Q$10</x:f>
        <x:v>ja</x:v>
      </x:c>
      <x:c r="E34" s="189" t="n">
        <x:f>IF(G34="definiert",'Stationen Abfrage dataprocessor'!$E$10,"")</x:f>
        <x:v>45981</x:v>
      </x:c>
      <x:c r="F34" s="189" t="n">
        <x:f>IF(G34="definiert",'Stationen Abfrage dataprocessor'!$H$10+1,"")</x:f>
        <x:v>46266</x:v>
      </x:c>
      <x:c r="G34" s="182" t="str">
        <x:f>IF(D34="nein","nicht_anwendbar",IF(D34&lt;&gt;"ja","Konfiguration fehlt",IF(OR(NOT(ISNUMBER('Stationen Abfrage dataprocessor'!$E$10)),NOT(ISNUMBER('Stationen Abfrage dataprocessor'!$H$10))),"Konfiguration fehlt",IF(('Stationen Abfrage dataprocessor'!$H$10+1)&lt;=('Stationen Abfrage dataprocessor'!$E$10),"kein_beobachtetes_fenster","definiert"))))</x:f>
        <x:v>definiert</x:v>
      </x:c>
      <x:c r="H34" s="182" t="str">
        <x:v>ja</x:v>
      </x:c>
      <x:c r="I34" s="182" t="str">
        <x:v>nein</x:v>
      </x:c>
      <x:c r="J34" s="182" t="str">
        <x:f>"nicht Voraussetzung"</x:f>
        <x:v>nicht Voraussetzung</x:v>
      </x:c>
      <x:c r="K34" s="190" t="n">
        <x:f>IF(G34="definiert",F34-E34,"")</x:f>
        <x:v>285</x:v>
      </x:c>
      <x:c r="L34" s="182" t="n">
        <x:v>10</x:v>
      </x:c>
      <x:c r="M34" s="182" t="str">
        <x:f>IF('Stationen Abfrage dataprocessor'!$K$10="","",'Stationen Abfrage dataprocessor'!$K$10)</x:f>
      </x:c>
      <x:c r="N34" s="182" t="str">
        <x:f>Definitionen!$B$2</x:f>
        <x:v>IP-COHORT-2026-10-28-01</x:v>
      </x:c>
    </x:row>
    <x:row r="35" ht="72" customHeight="1">
      <x:c r="A35" s="182" t="str">
        <x:f>'Stationen Abfrage dataprocessor'!$A$11</x:f>
        <x:v>UK Bonn</x:v>
      </x:c>
      <x:c r="B35" s="182" t="str">
        <x:f>'Stationen Abfrage dataprocessor'!$D$11</x:f>
        <x:v>Station Hufeland</x:v>
      </x:c>
      <x:c r="C35" s="182" t="str">
        <x:v>BS</x:v>
      </x:c>
      <x:c r="D35" s="182" t="str">
        <x:f>'Stationen Abfrage dataprocessor'!$M$11</x:f>
        <x:v>ja</x:v>
      </x:c>
      <x:c r="E35" s="189" t="n">
        <x:f>IF(G35="definiert",'Stationen Abfrage dataprocessor'!$E$11,"")</x:f>
        <x:v>45649</x:v>
      </x:c>
      <x:c r="F35" s="189" t="n">
        <x:f>IF(G35="definiert",IF('Stationen Abfrage dataprocessor'!$T$11="Studienende",'Stationen Abfrage dataprocessor'!$H$11+1,MIN('Stationen Abfrage dataprocessor'!$F$11,'Stationen Abfrage dataprocessor'!$H$11+1)),"")</x:f>
        <x:v>46204</x:v>
      </x:c>
      <x:c r="G35" s="182" t="str">
        <x:f>IF(D35="nein","nicht_anwendbar",IF(D35&lt;&gt;"ja","Konfiguration fehlt",IF(OR(NOT(ISNUMBER('Stationen Abfrage dataprocessor'!$E$11)),NOT(ISNUMBER('Stationen Abfrage dataprocessor'!$H$11)),AND('Stationen Abfrage dataprocessor'!$T$11&lt;&gt;"Phasengrenze",'Stationen Abfrage dataprocessor'!$T$11&lt;&gt;"Studienende"),AND('Stationen Abfrage dataprocessor'!$T$11="Phasengrenze",NOT(ISNUMBER('Stationen Abfrage dataprocessor'!$F$11)))),"Konfiguration fehlt",IF((IF('Stationen Abfrage dataprocessor'!$T$11="Studienende",'Stationen Abfrage dataprocessor'!$H$11+1,MIN('Stationen Abfrage dataprocessor'!$F$11,'Stationen Abfrage dataprocessor'!$H$11+1)))&lt;=('Stationen Abfrage dataprocessor'!$E$11),"kein_beobachtetes_fenster","definiert"))))</x:f>
        <x:v>definiert</x:v>
      </x:c>
      <x:c r="H35" s="182" t="str">
        <x:v>nein</x:v>
      </x:c>
      <x:c r="I35" s="182" t="str">
        <x:v>nein</x:v>
      </x:c>
      <x:c r="J35" s="182" t="str">
        <x:f>"nicht Voraussetzung"</x:f>
        <x:v>nicht Voraussetzung</x:v>
      </x:c>
      <x:c r="K35" s="190" t="n">
        <x:f>IF(G35="definiert",F35-E35,"")</x:f>
        <x:v>555</x:v>
      </x:c>
      <x:c r="L35" s="182" t="n">
        <x:v>11</x:v>
      </x:c>
      <x:c r="M35" s="182" t="str">
        <x:f>IF('Stationen Abfrage dataprocessor'!$K$11="","",'Stationen Abfrage dataprocessor'!$K$11)</x:f>
        <x:v>Nur BS und TRS; nie CRS-A/CRS-B und kein RES. BS-Endregel: Studienende, letzter Tag vollständig enthalten.</x:v>
      </x:c>
      <x:c r="N35" s="182" t="str">
        <x:f>Definitionen!$B$2</x:f>
        <x:v>IP-COHORT-2026-10-28-01</x:v>
      </x:c>
    </x:row>
    <x:row r="36" ht="72" customHeight="1">
      <x:c r="A36" s="182" t="str">
        <x:f>'Stationen Abfrage dataprocessor'!$A$11</x:f>
        <x:v>UK Bonn</x:v>
      </x:c>
      <x:c r="B36" s="182" t="str">
        <x:f>'Stationen Abfrage dataprocessor'!$D$11</x:f>
        <x:v>Station Hufeland</x:v>
      </x:c>
      <x:c r="C36" s="182" t="str">
        <x:v>CRS-A</x:v>
      </x:c>
      <x:c r="D36" s="182" t="str">
        <x:f>'Stationen Abfrage dataprocessor'!$N$11</x:f>
        <x:v>nein</x:v>
      </x:c>
      <x:c r="E36" s="189" t="str">
        <x:f>IF(G36="definiert",MAX('Stationen Abfrage dataprocessor'!$E$11,'Stationen Abfrage dataprocessor'!$F$11),"")</x:f>
      </x:c>
      <x:c r="F36" s="189" t="str">
        <x:f>IF(G36="definiert",MIN('Stationen Abfrage dataprocessor'!$G$11,'Stationen Abfrage dataprocessor'!$H$11+1),"")</x:f>
      </x:c>
      <x:c r="G36" s="182" t="str">
        <x:f>IF(D36="nein","nicht_anwendbar",IF(D36&lt;&gt;"ja","Konfiguration fehlt",IF(OR(NOT(ISNUMBER('Stationen Abfrage dataprocessor'!$E$11)),NOT(ISNUMBER('Stationen Abfrage dataprocessor'!$F$11)),NOT(ISNUMBER('Stationen Abfrage dataprocessor'!$G$11)),NOT(ISNUMBER('Stationen Abfrage dataprocessor'!$H$11))),"Konfiguration fehlt",IF((MIN('Stationen Abfrage dataprocessor'!$G$11,'Stationen Abfrage dataprocessor'!$H$11+1))&lt;=(MAX('Stationen Abfrage dataprocessor'!$E$11,'Stationen Abfrage dataprocessor'!$F$11)),"kein_beobachtetes_fenster","definiert"))))</x:f>
        <x:v>nicht_anwendbar</x:v>
      </x:c>
      <x:c r="H36" s="182" t="str">
        <x:v>nein</x:v>
      </x:c>
      <x:c r="I36" s="182" t="str">
        <x:v>nein</x:v>
      </x:c>
      <x:c r="J36" s="182" t="str">
        <x:f>"nicht Voraussetzung"</x:f>
        <x:v>nicht Voraussetzung</x:v>
      </x:c>
      <x:c r="K36" s="190" t="str">
        <x:f>IF(G36="definiert",F36-E36,"")</x:f>
      </x:c>
      <x:c r="L36" s="182" t="n">
        <x:v>11</x:v>
      </x:c>
      <x:c r="M36" s="182" t="str">
        <x:f>IF('Stationen Abfrage dataprocessor'!$K$11="","",'Stationen Abfrage dataprocessor'!$K$11)</x:f>
        <x:v>Nur BS und TRS; nie CRS-A/CRS-B und kein RES. BS-Endregel: Studienende, letzter Tag vollständig enthalten.</x:v>
      </x:c>
      <x:c r="N36" s="182" t="str">
        <x:f>Definitionen!$B$2</x:f>
        <x:v>IP-COHORT-2026-10-28-01</x:v>
      </x:c>
    </x:row>
    <x:row r="37" ht="72" customHeight="1">
      <x:c r="A37" s="182" t="str">
        <x:f>'Stationen Abfrage dataprocessor'!$A$11</x:f>
        <x:v>UK Bonn</x:v>
      </x:c>
      <x:c r="B37" s="182" t="str">
        <x:f>'Stationen Abfrage dataprocessor'!$D$11</x:f>
        <x:v>Station Hufeland</x:v>
      </x:c>
      <x:c r="C37" s="182" t="str">
        <x:v>CRS-B</x:v>
      </x:c>
      <x:c r="D37" s="182" t="str">
        <x:f>'Stationen Abfrage dataprocessor'!$O$11</x:f>
        <x:v>nein</x:v>
      </x:c>
      <x:c r="E37" s="189" t="str">
        <x:f>IF(G37="definiert",MAX('Stationen Abfrage dataprocessor'!$E$11,'Stationen Abfrage dataprocessor'!$G$11),"")</x:f>
      </x:c>
      <x:c r="F37" s="189" t="str">
        <x:f>IF(G37="definiert",'Stationen Abfrage dataprocessor'!$H$11+1,"")</x:f>
      </x:c>
      <x:c r="G37" s="182" t="str">
        <x:f>IF(D37="nein","nicht_anwendbar",IF(D37&lt;&gt;"ja","Konfiguration fehlt",IF(OR(NOT(ISNUMBER('Stationen Abfrage dataprocessor'!$E$11)),NOT(ISNUMBER('Stationen Abfrage dataprocessor'!$G$11)),NOT(ISNUMBER('Stationen Abfrage dataprocessor'!$H$11))),"Konfiguration fehlt",IF(('Stationen Abfrage dataprocessor'!$H$11+1)&lt;=(MAX('Stationen Abfrage dataprocessor'!$E$11,'Stationen Abfrage dataprocessor'!$G$11)),"kein_beobachtetes_fenster","definiert"))))</x:f>
        <x:v>nicht_anwendbar</x:v>
      </x:c>
      <x:c r="H37" s="182" t="str">
        <x:v>nein</x:v>
      </x:c>
      <x:c r="I37" s="182" t="str">
        <x:v>nein</x:v>
      </x:c>
      <x:c r="J37" s="182" t="str">
        <x:f>'Stationen Abfrage dataprocessor'!$S$11</x:f>
        <x:v>nicht vorgesehen</x:v>
      </x:c>
      <x:c r="K37" s="190" t="str">
        <x:f>IF(G37="definiert",F37-E37,"")</x:f>
      </x:c>
      <x:c r="L37" s="182" t="n">
        <x:v>11</x:v>
      </x:c>
      <x:c r="M37" s="182" t="str">
        <x:f>IF('Stationen Abfrage dataprocessor'!$K$11="","",'Stationen Abfrage dataprocessor'!$K$11)</x:f>
        <x:v>Nur BS und TRS; nie CRS-A/CRS-B und kein RES. BS-Endregel: Studienende, letzter Tag vollständig enthalten.</x:v>
      </x:c>
      <x:c r="N37" s="182" t="str">
        <x:f>Definitionen!$B$2</x:f>
        <x:v>IP-COHORT-2026-10-28-01</x:v>
      </x:c>
    </x:row>
    <x:row r="38" ht="72" customHeight="1">
      <x:c r="A38" s="182" t="str">
        <x:f>'Stationen Abfrage dataprocessor'!$A$11</x:f>
        <x:v>UK Bonn</x:v>
      </x:c>
      <x:c r="B38" s="182" t="str">
        <x:f>'Stationen Abfrage dataprocessor'!$D$11</x:f>
        <x:v>Station Hufeland</x:v>
      </x:c>
      <x:c r="C38" s="182" t="str">
        <x:v>RES</x:v>
      </x:c>
      <x:c r="D38" s="182" t="str">
        <x:f>'Stationen Abfrage dataprocessor'!$P$11</x:f>
        <x:v>nein</x:v>
      </x:c>
      <x:c r="E38" s="189" t="str">
        <x:f>IF(G38="definiert",MAX('Stationen Abfrage dataprocessor'!$E$11,'Stationen Abfrage dataprocessor'!$G$11),"")</x:f>
      </x:c>
      <x:c r="F38" s="189" t="str">
        <x:f>IF(G38="definiert",'Stationen Abfrage dataprocessor'!$H$11+1,"")</x:f>
      </x:c>
      <x:c r="G38" s="182" t="str">
        <x:f>IF(D38="nein","nicht_anwendbar",IF(D38&lt;&gt;"ja","Konfiguration fehlt",IF(OR(NOT(ISNUMBER('Stationen Abfrage dataprocessor'!$E$11)),NOT(ISNUMBER('Stationen Abfrage dataprocessor'!$G$11)),NOT(ISNUMBER('Stationen Abfrage dataprocessor'!$H$11))),"Konfiguration fehlt",IF(('Stationen Abfrage dataprocessor'!$H$11+1)&lt;=(MAX('Stationen Abfrage dataprocessor'!$E$11,'Stationen Abfrage dataprocessor'!$G$11)),"kein_beobachtetes_fenster","definiert"))))</x:f>
        <x:v>nicht_anwendbar</x:v>
      </x:c>
      <x:c r="H38" s="182" t="str">
        <x:v>ja</x:v>
      </x:c>
      <x:c r="I38" s="182" t="str">
        <x:v>ja</x:v>
      </x:c>
      <x:c r="J38" s="182" t="str">
        <x:f>'Stationen Abfrage dataprocessor'!$S$11</x:f>
        <x:v>nicht vorgesehen</x:v>
      </x:c>
      <x:c r="K38" s="190" t="str">
        <x:f>IF(G38="definiert",F38-E38,"")</x:f>
      </x:c>
      <x:c r="L38" s="182" t="n">
        <x:v>11</x:v>
      </x:c>
      <x:c r="M38" s="182" t="str">
        <x:f>IF('Stationen Abfrage dataprocessor'!$K$11="","",'Stationen Abfrage dataprocessor'!$K$11)</x:f>
        <x:v>Nur BS und TRS; nie CRS-A/CRS-B und kein RES. BS-Endregel: Studienende, letzter Tag vollständig enthalten.</x:v>
      </x:c>
      <x:c r="N38" s="182" t="str">
        <x:f>Definitionen!$B$2</x:f>
        <x:v>IP-COHORT-2026-10-28-01</x:v>
      </x:c>
    </x:row>
    <x:row r="39" ht="72" customHeight="1">
      <x:c r="A39" s="182" t="str">
        <x:f>'Stationen Abfrage dataprocessor'!$A$11</x:f>
        <x:v>UK Bonn</x:v>
      </x:c>
      <x:c r="B39" s="182" t="str">
        <x:f>'Stationen Abfrage dataprocessor'!$D$11</x:f>
        <x:v>Station Hufeland</x:v>
      </x:c>
      <x:c r="C39" s="182" t="str">
        <x:v>TRS</x:v>
      </x:c>
      <x:c r="D39" s="182" t="str">
        <x:f>'Stationen Abfrage dataprocessor'!$Q$11</x:f>
        <x:v>ja</x:v>
      </x:c>
      <x:c r="E39" s="189" t="n">
        <x:f>IF(G39="definiert",'Stationen Abfrage dataprocessor'!$E$11,"")</x:f>
        <x:v>45649</x:v>
      </x:c>
      <x:c r="F39" s="189" t="n">
        <x:f>IF(G39="definiert",'Stationen Abfrage dataprocessor'!$H$11+1,"")</x:f>
        <x:v>46204</x:v>
      </x:c>
      <x:c r="G39" s="182" t="str">
        <x:f>IF(D39="nein","nicht_anwendbar",IF(D39&lt;&gt;"ja","Konfiguration fehlt",IF(OR(NOT(ISNUMBER('Stationen Abfrage dataprocessor'!$E$11)),NOT(ISNUMBER('Stationen Abfrage dataprocessor'!$H$11))),"Konfiguration fehlt",IF(('Stationen Abfrage dataprocessor'!$H$11+1)&lt;=('Stationen Abfrage dataprocessor'!$E$11),"kein_beobachtetes_fenster","definiert"))))</x:f>
        <x:v>definiert</x:v>
      </x:c>
      <x:c r="H39" s="182" t="str">
        <x:v>ja</x:v>
      </x:c>
      <x:c r="I39" s="182" t="str">
        <x:v>nein</x:v>
      </x:c>
      <x:c r="J39" s="182" t="str">
        <x:f>"nicht Voraussetzung"</x:f>
        <x:v>nicht Voraussetzung</x:v>
      </x:c>
      <x:c r="K39" s="190" t="n">
        <x:f>IF(G39="definiert",F39-E39,"")</x:f>
        <x:v>555</x:v>
      </x:c>
      <x:c r="L39" s="182" t="n">
        <x:v>11</x:v>
      </x:c>
      <x:c r="M39" s="182" t="str">
        <x:f>IF('Stationen Abfrage dataprocessor'!$K$11="","",'Stationen Abfrage dataprocessor'!$K$11)</x:f>
        <x:v>Nur BS und TRS; nie CRS-A/CRS-B und kein RES. BS-Endregel: Studienende, letzter Tag vollständig enthalten.</x:v>
      </x:c>
      <x:c r="N39" s="182" t="str">
        <x:f>Definitionen!$B$2</x:f>
        <x:v>IP-COHORT-2026-10-28-01</x:v>
      </x:c>
    </x:row>
    <x:row r="40" ht="72" customHeight="1">
      <x:c r="A40" s="182" t="str">
        <x:f>'Stationen Abfrage dataprocessor'!$A$12</x:f>
        <x:v>UK Bonn</x:v>
      </x:c>
      <x:c r="B40" s="182" t="str">
        <x:f>'Stationen Abfrage dataprocessor'!$D$12</x:f>
        <x:v>Nasse I</x:v>
      </x:c>
      <x:c r="C40" s="182" t="str">
        <x:v>BS</x:v>
      </x:c>
      <x:c r="D40" s="182" t="str">
        <x:f>'Stationen Abfrage dataprocessor'!$M$12</x:f>
        <x:v>ja</x:v>
      </x:c>
      <x:c r="E40" s="189" t="n">
        <x:f>IF(G40="definiert",'Stationen Abfrage dataprocessor'!$E$12,"")</x:f>
        <x:v>45762</x:v>
      </x:c>
      <x:c r="F40" s="189" t="n">
        <x:f>IF(G40="definiert",IF('Stationen Abfrage dataprocessor'!$T$12="Studienende",'Stationen Abfrage dataprocessor'!$H$12+1,MIN('Stationen Abfrage dataprocessor'!$F$12,'Stationen Abfrage dataprocessor'!$H$12+1)),"")</x:f>
        <x:v>46266</x:v>
      </x:c>
      <x:c r="G40" s="182" t="str">
        <x:f>IF(D40="nein","nicht_anwendbar",IF(D40&lt;&gt;"ja","Konfiguration fehlt",IF(OR(NOT(ISNUMBER('Stationen Abfrage dataprocessor'!$E$12)),NOT(ISNUMBER('Stationen Abfrage dataprocessor'!$H$12)),AND('Stationen Abfrage dataprocessor'!$T$12&lt;&gt;"Phasengrenze",'Stationen Abfrage dataprocessor'!$T$12&lt;&gt;"Studienende"),AND('Stationen Abfrage dataprocessor'!$T$12="Phasengrenze",NOT(ISNUMBER('Stationen Abfrage dataprocessor'!$F$12)))),"Konfiguration fehlt",IF((IF('Stationen Abfrage dataprocessor'!$T$12="Studienende",'Stationen Abfrage dataprocessor'!$H$12+1,MIN('Stationen Abfrage dataprocessor'!$F$12,'Stationen Abfrage dataprocessor'!$H$12+1)))&lt;=('Stationen Abfrage dataprocessor'!$E$12),"kein_beobachtetes_fenster","definiert"))))</x:f>
        <x:v>definiert</x:v>
      </x:c>
      <x:c r="H40" s="182" t="str">
        <x:v>nein</x:v>
      </x:c>
      <x:c r="I40" s="182" t="str">
        <x:v>nein</x:v>
      </x:c>
      <x:c r="J40" s="182" t="str">
        <x:f>"nicht Voraussetzung"</x:f>
        <x:v>nicht Voraussetzung</x:v>
      </x:c>
      <x:c r="K40" s="190" t="n">
        <x:f>IF(G40="definiert",F40-E40,"")</x:f>
        <x:v>504</x:v>
      </x:c>
      <x:c r="L40" s="182" t="n">
        <x:v>12</x:v>
      </x:c>
      <x:c r="M40" s="182" t="str">
        <x:f>IF('Stationen Abfrage dataprocessor'!$K$12="","",'Stationen Abfrage dataprocessor'!$K$12)</x:f>
        <x:v>Nur BS und TRS; nie CRS-A/CRS-B und kein RES. BS-Endregel: Studienende, letzter Tag vollständig enthalten.</x:v>
      </x:c>
      <x:c r="N40" s="182" t="str">
        <x:f>Definitionen!$B$2</x:f>
        <x:v>IP-COHORT-2026-10-28-01</x:v>
      </x:c>
    </x:row>
    <x:row r="41" ht="72" customHeight="1">
      <x:c r="A41" s="182" t="str">
        <x:f>'Stationen Abfrage dataprocessor'!$A$12</x:f>
        <x:v>UK Bonn</x:v>
      </x:c>
      <x:c r="B41" s="182" t="str">
        <x:f>'Stationen Abfrage dataprocessor'!$D$12</x:f>
        <x:v>Nasse I</x:v>
      </x:c>
      <x:c r="C41" s="182" t="str">
        <x:v>CRS-A</x:v>
      </x:c>
      <x:c r="D41" s="182" t="str">
        <x:f>'Stationen Abfrage dataprocessor'!$N$12</x:f>
        <x:v>nein</x:v>
      </x:c>
      <x:c r="E41" s="189" t="str">
        <x:f>IF(G41="definiert",MAX('Stationen Abfrage dataprocessor'!$E$12,'Stationen Abfrage dataprocessor'!$F$12),"")</x:f>
      </x:c>
      <x:c r="F41" s="189" t="str">
        <x:f>IF(G41="definiert",MIN('Stationen Abfrage dataprocessor'!$G$12,'Stationen Abfrage dataprocessor'!$H$12+1),"")</x:f>
      </x:c>
      <x:c r="G41" s="182" t="str">
        <x:f>IF(D41="nein","nicht_anwendbar",IF(D41&lt;&gt;"ja","Konfiguration fehlt",IF(OR(NOT(ISNUMBER('Stationen Abfrage dataprocessor'!$E$12)),NOT(ISNUMBER('Stationen Abfrage dataprocessor'!$F$12)),NOT(ISNUMBER('Stationen Abfrage dataprocessor'!$G$12)),NOT(ISNUMBER('Stationen Abfrage dataprocessor'!$H$12))),"Konfiguration fehlt",IF((MIN('Stationen Abfrage dataprocessor'!$G$12,'Stationen Abfrage dataprocessor'!$H$12+1))&lt;=(MAX('Stationen Abfrage dataprocessor'!$E$12,'Stationen Abfrage dataprocessor'!$F$12)),"kein_beobachtetes_fenster","definiert"))))</x:f>
        <x:v>nicht_anwendbar</x:v>
      </x:c>
      <x:c r="H41" s="182" t="str">
        <x:v>nein</x:v>
      </x:c>
      <x:c r="I41" s="182" t="str">
        <x:v>nein</x:v>
      </x:c>
      <x:c r="J41" s="182" t="str">
        <x:f>"nicht Voraussetzung"</x:f>
        <x:v>nicht Voraussetzung</x:v>
      </x:c>
      <x:c r="K41" s="190" t="str">
        <x:f>IF(G41="definiert",F41-E41,"")</x:f>
      </x:c>
      <x:c r="L41" s="182" t="n">
        <x:v>12</x:v>
      </x:c>
      <x:c r="M41" s="182" t="str">
        <x:f>IF('Stationen Abfrage dataprocessor'!$K$12="","",'Stationen Abfrage dataprocessor'!$K$12)</x:f>
        <x:v>Nur BS und TRS; nie CRS-A/CRS-B und kein RES. BS-Endregel: Studienende, letzter Tag vollständig enthalten.</x:v>
      </x:c>
      <x:c r="N41" s="182" t="str">
        <x:f>Definitionen!$B$2</x:f>
        <x:v>IP-COHORT-2026-10-28-01</x:v>
      </x:c>
    </x:row>
    <x:row r="42" ht="72" customHeight="1">
      <x:c r="A42" s="182" t="str">
        <x:f>'Stationen Abfrage dataprocessor'!$A$12</x:f>
        <x:v>UK Bonn</x:v>
      </x:c>
      <x:c r="B42" s="182" t="str">
        <x:f>'Stationen Abfrage dataprocessor'!$D$12</x:f>
        <x:v>Nasse I</x:v>
      </x:c>
      <x:c r="C42" s="182" t="str">
        <x:v>CRS-B</x:v>
      </x:c>
      <x:c r="D42" s="182" t="str">
        <x:f>'Stationen Abfrage dataprocessor'!$O$12</x:f>
        <x:v>nein</x:v>
      </x:c>
      <x:c r="E42" s="189" t="str">
        <x:f>IF(G42="definiert",MAX('Stationen Abfrage dataprocessor'!$E$12,'Stationen Abfrage dataprocessor'!$G$12),"")</x:f>
      </x:c>
      <x:c r="F42" s="189" t="str">
        <x:f>IF(G42="definiert",'Stationen Abfrage dataprocessor'!$H$12+1,"")</x:f>
      </x:c>
      <x:c r="G42" s="182" t="str">
        <x:f>IF(D42="nein","nicht_anwendbar",IF(D42&lt;&gt;"ja","Konfiguration fehlt",IF(OR(NOT(ISNUMBER('Stationen Abfrage dataprocessor'!$E$12)),NOT(ISNUMBER('Stationen Abfrage dataprocessor'!$G$12)),NOT(ISNUMBER('Stationen Abfrage dataprocessor'!$H$12))),"Konfiguration fehlt",IF(('Stationen Abfrage dataprocessor'!$H$12+1)&lt;=(MAX('Stationen Abfrage dataprocessor'!$E$12,'Stationen Abfrage dataprocessor'!$G$12)),"kein_beobachtetes_fenster","definiert"))))</x:f>
        <x:v>nicht_anwendbar</x:v>
      </x:c>
      <x:c r="H42" s="182" t="str">
        <x:v>nein</x:v>
      </x:c>
      <x:c r="I42" s="182" t="str">
        <x:v>nein</x:v>
      </x:c>
      <x:c r="J42" s="182" t="str">
        <x:f>'Stationen Abfrage dataprocessor'!$S$12</x:f>
        <x:v>nicht vorgesehen</x:v>
      </x:c>
      <x:c r="K42" s="190" t="str">
        <x:f>IF(G42="definiert",F42-E42,"")</x:f>
      </x:c>
      <x:c r="L42" s="182" t="n">
        <x:v>12</x:v>
      </x:c>
      <x:c r="M42" s="182" t="str">
        <x:f>IF('Stationen Abfrage dataprocessor'!$K$12="","",'Stationen Abfrage dataprocessor'!$K$12)</x:f>
        <x:v>Nur BS und TRS; nie CRS-A/CRS-B und kein RES. BS-Endregel: Studienende, letzter Tag vollständig enthalten.</x:v>
      </x:c>
      <x:c r="N42" s="182" t="str">
        <x:f>Definitionen!$B$2</x:f>
        <x:v>IP-COHORT-2026-10-28-01</x:v>
      </x:c>
    </x:row>
    <x:row r="43" ht="72" customHeight="1">
      <x:c r="A43" s="182" t="str">
        <x:f>'Stationen Abfrage dataprocessor'!$A$12</x:f>
        <x:v>UK Bonn</x:v>
      </x:c>
      <x:c r="B43" s="182" t="str">
        <x:f>'Stationen Abfrage dataprocessor'!$D$12</x:f>
        <x:v>Nasse I</x:v>
      </x:c>
      <x:c r="C43" s="182" t="str">
        <x:v>RES</x:v>
      </x:c>
      <x:c r="D43" s="182" t="str">
        <x:f>'Stationen Abfrage dataprocessor'!$P$12</x:f>
        <x:v>nein</x:v>
      </x:c>
      <x:c r="E43" s="189" t="str">
        <x:f>IF(G43="definiert",MAX('Stationen Abfrage dataprocessor'!$E$12,'Stationen Abfrage dataprocessor'!$G$12),"")</x:f>
      </x:c>
      <x:c r="F43" s="189" t="str">
        <x:f>IF(G43="definiert",'Stationen Abfrage dataprocessor'!$H$12+1,"")</x:f>
      </x:c>
      <x:c r="G43" s="182" t="str">
        <x:f>IF(D43="nein","nicht_anwendbar",IF(D43&lt;&gt;"ja","Konfiguration fehlt",IF(OR(NOT(ISNUMBER('Stationen Abfrage dataprocessor'!$E$12)),NOT(ISNUMBER('Stationen Abfrage dataprocessor'!$G$12)),NOT(ISNUMBER('Stationen Abfrage dataprocessor'!$H$12))),"Konfiguration fehlt",IF(('Stationen Abfrage dataprocessor'!$H$12+1)&lt;=(MAX('Stationen Abfrage dataprocessor'!$E$12,'Stationen Abfrage dataprocessor'!$G$12)),"kein_beobachtetes_fenster","definiert"))))</x:f>
        <x:v>nicht_anwendbar</x:v>
      </x:c>
      <x:c r="H43" s="182" t="str">
        <x:v>ja</x:v>
      </x:c>
      <x:c r="I43" s="182" t="str">
        <x:v>ja</x:v>
      </x:c>
      <x:c r="J43" s="182" t="str">
        <x:f>'Stationen Abfrage dataprocessor'!$S$12</x:f>
        <x:v>nicht vorgesehen</x:v>
      </x:c>
      <x:c r="K43" s="190" t="str">
        <x:f>IF(G43="definiert",F43-E43,"")</x:f>
      </x:c>
      <x:c r="L43" s="182" t="n">
        <x:v>12</x:v>
      </x:c>
      <x:c r="M43" s="182" t="str">
        <x:f>IF('Stationen Abfrage dataprocessor'!$K$12="","",'Stationen Abfrage dataprocessor'!$K$12)</x:f>
        <x:v>Nur BS und TRS; nie CRS-A/CRS-B und kein RES. BS-Endregel: Studienende, letzter Tag vollständig enthalten.</x:v>
      </x:c>
      <x:c r="N43" s="182" t="str">
        <x:f>Definitionen!$B$2</x:f>
        <x:v>IP-COHORT-2026-10-28-01</x:v>
      </x:c>
    </x:row>
    <x:row r="44" ht="72" customHeight="1">
      <x:c r="A44" s="182" t="str">
        <x:f>'Stationen Abfrage dataprocessor'!$A$12</x:f>
        <x:v>UK Bonn</x:v>
      </x:c>
      <x:c r="B44" s="182" t="str">
        <x:f>'Stationen Abfrage dataprocessor'!$D$12</x:f>
        <x:v>Nasse I</x:v>
      </x:c>
      <x:c r="C44" s="182" t="str">
        <x:v>TRS</x:v>
      </x:c>
      <x:c r="D44" s="182" t="str">
        <x:f>'Stationen Abfrage dataprocessor'!$Q$12</x:f>
        <x:v>ja</x:v>
      </x:c>
      <x:c r="E44" s="189" t="n">
        <x:f>IF(G44="definiert",'Stationen Abfrage dataprocessor'!$E$12,"")</x:f>
        <x:v>45762</x:v>
      </x:c>
      <x:c r="F44" s="189" t="n">
        <x:f>IF(G44="definiert",'Stationen Abfrage dataprocessor'!$H$12+1,"")</x:f>
        <x:v>46266</x:v>
      </x:c>
      <x:c r="G44" s="182" t="str">
        <x:f>IF(D44="nein","nicht_anwendbar",IF(D44&lt;&gt;"ja","Konfiguration fehlt",IF(OR(NOT(ISNUMBER('Stationen Abfrage dataprocessor'!$E$12)),NOT(ISNUMBER('Stationen Abfrage dataprocessor'!$H$12))),"Konfiguration fehlt",IF(('Stationen Abfrage dataprocessor'!$H$12+1)&lt;=('Stationen Abfrage dataprocessor'!$E$12),"kein_beobachtetes_fenster","definiert"))))</x:f>
        <x:v>definiert</x:v>
      </x:c>
      <x:c r="H44" s="182" t="str">
        <x:v>ja</x:v>
      </x:c>
      <x:c r="I44" s="182" t="str">
        <x:v>nein</x:v>
      </x:c>
      <x:c r="J44" s="182" t="str">
        <x:f>"nicht Voraussetzung"</x:f>
        <x:v>nicht Voraussetzung</x:v>
      </x:c>
      <x:c r="K44" s="190" t="n">
        <x:f>IF(G44="definiert",F44-E44,"")</x:f>
        <x:v>504</x:v>
      </x:c>
      <x:c r="L44" s="182" t="n">
        <x:v>12</x:v>
      </x:c>
      <x:c r="M44" s="182" t="str">
        <x:f>IF('Stationen Abfrage dataprocessor'!$K$12="","",'Stationen Abfrage dataprocessor'!$K$12)</x:f>
        <x:v>Nur BS und TRS; nie CRS-A/CRS-B und kein RES. BS-Endregel: Studienende, letzter Tag vollständig enthalten.</x:v>
      </x:c>
      <x:c r="N44" s="182" t="str">
        <x:f>Definitionen!$B$2</x:f>
        <x:v>IP-COHORT-2026-10-28-01</x:v>
      </x:c>
    </x:row>
    <x:row r="45" ht="72" customHeight="1">
      <x:c r="A45" s="182" t="str">
        <x:f>'Stationen Abfrage dataprocessor'!$A$13</x:f>
        <x:v>UK Bonn</x:v>
      </x:c>
      <x:c r="B45" s="182" t="str">
        <x:f>'Stationen Abfrage dataprocessor'!$D$13</x:f>
        <x:v>Nasse II</x:v>
      </x:c>
      <x:c r="C45" s="182" t="str">
        <x:v>BS</x:v>
      </x:c>
      <x:c r="D45" s="182" t="str">
        <x:f>'Stationen Abfrage dataprocessor'!$M$13</x:f>
        <x:v>ja</x:v>
      </x:c>
      <x:c r="E45" s="189" t="n">
        <x:f>IF(G45="definiert",'Stationen Abfrage dataprocessor'!$E$13,"")</x:f>
        <x:v>45762</x:v>
      </x:c>
      <x:c r="F45" s="189" t="n">
        <x:f>IF(G45="definiert",IF('Stationen Abfrage dataprocessor'!$T$13="Studienende",'Stationen Abfrage dataprocessor'!$H$13+1,MIN('Stationen Abfrage dataprocessor'!$F$13,'Stationen Abfrage dataprocessor'!$H$13+1)),"")</x:f>
        <x:v>46266</x:v>
      </x:c>
      <x:c r="G45" s="182" t="str">
        <x:f>IF(D45="nein","nicht_anwendbar",IF(D45&lt;&gt;"ja","Konfiguration fehlt",IF(OR(NOT(ISNUMBER('Stationen Abfrage dataprocessor'!$E$13)),NOT(ISNUMBER('Stationen Abfrage dataprocessor'!$H$13)),AND('Stationen Abfrage dataprocessor'!$T$13&lt;&gt;"Phasengrenze",'Stationen Abfrage dataprocessor'!$T$13&lt;&gt;"Studienende"),AND('Stationen Abfrage dataprocessor'!$T$13="Phasengrenze",NOT(ISNUMBER('Stationen Abfrage dataprocessor'!$F$13)))),"Konfiguration fehlt",IF((IF('Stationen Abfrage dataprocessor'!$T$13="Studienende",'Stationen Abfrage dataprocessor'!$H$13+1,MIN('Stationen Abfrage dataprocessor'!$F$13,'Stationen Abfrage dataprocessor'!$H$13+1)))&lt;=('Stationen Abfrage dataprocessor'!$E$13),"kein_beobachtetes_fenster","definiert"))))</x:f>
        <x:v>definiert</x:v>
      </x:c>
      <x:c r="H45" s="182" t="str">
        <x:v>nein</x:v>
      </x:c>
      <x:c r="I45" s="182" t="str">
        <x:v>nein</x:v>
      </x:c>
      <x:c r="J45" s="182" t="str">
        <x:f>"nicht Voraussetzung"</x:f>
        <x:v>nicht Voraussetzung</x:v>
      </x:c>
      <x:c r="K45" s="190" t="n">
        <x:f>IF(G45="definiert",F45-E45,"")</x:f>
        <x:v>504</x:v>
      </x:c>
      <x:c r="L45" s="182" t="n">
        <x:v>13</x:v>
      </x:c>
      <x:c r="M45" s="182" t="str">
        <x:f>IF('Stationen Abfrage dataprocessor'!$K$13="","",'Stationen Abfrage dataprocessor'!$K$13)</x:f>
        <x:v>Nur BS und TRS; nie CRS-A/CRS-B und kein RES. BS-Endregel: Studienende, letzter Tag vollständig enthalten.</x:v>
      </x:c>
      <x:c r="N45" s="182" t="str">
        <x:f>Definitionen!$B$2</x:f>
        <x:v>IP-COHORT-2026-10-28-01</x:v>
      </x:c>
    </x:row>
    <x:row r="46" ht="72" customHeight="1">
      <x:c r="A46" s="182" t="str">
        <x:f>'Stationen Abfrage dataprocessor'!$A$13</x:f>
        <x:v>UK Bonn</x:v>
      </x:c>
      <x:c r="B46" s="182" t="str">
        <x:f>'Stationen Abfrage dataprocessor'!$D$13</x:f>
        <x:v>Nasse II</x:v>
      </x:c>
      <x:c r="C46" s="182" t="str">
        <x:v>CRS-A</x:v>
      </x:c>
      <x:c r="D46" s="182" t="str">
        <x:f>'Stationen Abfrage dataprocessor'!$N$13</x:f>
        <x:v>nein</x:v>
      </x:c>
      <x:c r="E46" s="189" t="str">
        <x:f>IF(G46="definiert",MAX('Stationen Abfrage dataprocessor'!$E$13,'Stationen Abfrage dataprocessor'!$F$13),"")</x:f>
      </x:c>
      <x:c r="F46" s="189" t="str">
        <x:f>IF(G46="definiert",MIN('Stationen Abfrage dataprocessor'!$G$13,'Stationen Abfrage dataprocessor'!$H$13+1),"")</x:f>
      </x:c>
      <x:c r="G46" s="182" t="str">
        <x:f>IF(D46="nein","nicht_anwendbar",IF(D46&lt;&gt;"ja","Konfiguration fehlt",IF(OR(NOT(ISNUMBER('Stationen Abfrage dataprocessor'!$E$13)),NOT(ISNUMBER('Stationen Abfrage dataprocessor'!$F$13)),NOT(ISNUMBER('Stationen Abfrage dataprocessor'!$G$13)),NOT(ISNUMBER('Stationen Abfrage dataprocessor'!$H$13))),"Konfiguration fehlt",IF((MIN('Stationen Abfrage dataprocessor'!$G$13,'Stationen Abfrage dataprocessor'!$H$13+1))&lt;=(MAX('Stationen Abfrage dataprocessor'!$E$13,'Stationen Abfrage dataprocessor'!$F$13)),"kein_beobachtetes_fenster","definiert"))))</x:f>
        <x:v>nicht_anwendbar</x:v>
      </x:c>
      <x:c r="H46" s="182" t="str">
        <x:v>nein</x:v>
      </x:c>
      <x:c r="I46" s="182" t="str">
        <x:v>nein</x:v>
      </x:c>
      <x:c r="J46" s="182" t="str">
        <x:f>"nicht Voraussetzung"</x:f>
        <x:v>nicht Voraussetzung</x:v>
      </x:c>
      <x:c r="K46" s="190" t="str">
        <x:f>IF(G46="definiert",F46-E46,"")</x:f>
      </x:c>
      <x:c r="L46" s="182" t="n">
        <x:v>13</x:v>
      </x:c>
      <x:c r="M46" s="182" t="str">
        <x:f>IF('Stationen Abfrage dataprocessor'!$K$13="","",'Stationen Abfrage dataprocessor'!$K$13)</x:f>
        <x:v>Nur BS und TRS; nie CRS-A/CRS-B und kein RES. BS-Endregel: Studienende, letzter Tag vollständig enthalten.</x:v>
      </x:c>
      <x:c r="N46" s="182" t="str">
        <x:f>Definitionen!$B$2</x:f>
        <x:v>IP-COHORT-2026-10-28-01</x:v>
      </x:c>
    </x:row>
    <x:row r="47" ht="72" customHeight="1">
      <x:c r="A47" s="182" t="str">
        <x:f>'Stationen Abfrage dataprocessor'!$A$13</x:f>
        <x:v>UK Bonn</x:v>
      </x:c>
      <x:c r="B47" s="182" t="str">
        <x:f>'Stationen Abfrage dataprocessor'!$D$13</x:f>
        <x:v>Nasse II</x:v>
      </x:c>
      <x:c r="C47" s="182" t="str">
        <x:v>CRS-B</x:v>
      </x:c>
      <x:c r="D47" s="182" t="str">
        <x:f>'Stationen Abfrage dataprocessor'!$O$13</x:f>
        <x:v>nein</x:v>
      </x:c>
      <x:c r="E47" s="189" t="str">
        <x:f>IF(G47="definiert",MAX('Stationen Abfrage dataprocessor'!$E$13,'Stationen Abfrage dataprocessor'!$G$13),"")</x:f>
      </x:c>
      <x:c r="F47" s="189" t="str">
        <x:f>IF(G47="definiert",'Stationen Abfrage dataprocessor'!$H$13+1,"")</x:f>
      </x:c>
      <x:c r="G47" s="182" t="str">
        <x:f>IF(D47="nein","nicht_anwendbar",IF(D47&lt;&gt;"ja","Konfiguration fehlt",IF(OR(NOT(ISNUMBER('Stationen Abfrage dataprocessor'!$E$13)),NOT(ISNUMBER('Stationen Abfrage dataprocessor'!$G$13)),NOT(ISNUMBER('Stationen Abfrage dataprocessor'!$H$13))),"Konfiguration fehlt",IF(('Stationen Abfrage dataprocessor'!$H$13+1)&lt;=(MAX('Stationen Abfrage dataprocessor'!$E$13,'Stationen Abfrage dataprocessor'!$G$13)),"kein_beobachtetes_fenster","definiert"))))</x:f>
        <x:v>nicht_anwendbar</x:v>
      </x:c>
      <x:c r="H47" s="182" t="str">
        <x:v>nein</x:v>
      </x:c>
      <x:c r="I47" s="182" t="str">
        <x:v>nein</x:v>
      </x:c>
      <x:c r="J47" s="182" t="str">
        <x:f>'Stationen Abfrage dataprocessor'!$S$13</x:f>
        <x:v>nicht vorgesehen</x:v>
      </x:c>
      <x:c r="K47" s="190" t="str">
        <x:f>IF(G47="definiert",F47-E47,"")</x:f>
      </x:c>
      <x:c r="L47" s="182" t="n">
        <x:v>13</x:v>
      </x:c>
      <x:c r="M47" s="182" t="str">
        <x:f>IF('Stationen Abfrage dataprocessor'!$K$13="","",'Stationen Abfrage dataprocessor'!$K$13)</x:f>
        <x:v>Nur BS und TRS; nie CRS-A/CRS-B und kein RES. BS-Endregel: Studienende, letzter Tag vollständig enthalten.</x:v>
      </x:c>
      <x:c r="N47" s="182" t="str">
        <x:f>Definitionen!$B$2</x:f>
        <x:v>IP-COHORT-2026-10-28-01</x:v>
      </x:c>
    </x:row>
    <x:row r="48" ht="72" customHeight="1">
      <x:c r="A48" s="182" t="str">
        <x:f>'Stationen Abfrage dataprocessor'!$A$13</x:f>
        <x:v>UK Bonn</x:v>
      </x:c>
      <x:c r="B48" s="182" t="str">
        <x:f>'Stationen Abfrage dataprocessor'!$D$13</x:f>
        <x:v>Nasse II</x:v>
      </x:c>
      <x:c r="C48" s="182" t="str">
        <x:v>RES</x:v>
      </x:c>
      <x:c r="D48" s="182" t="str">
        <x:f>'Stationen Abfrage dataprocessor'!$P$13</x:f>
        <x:v>nein</x:v>
      </x:c>
      <x:c r="E48" s="189" t="str">
        <x:f>IF(G48="definiert",MAX('Stationen Abfrage dataprocessor'!$E$13,'Stationen Abfrage dataprocessor'!$G$13),"")</x:f>
      </x:c>
      <x:c r="F48" s="189" t="str">
        <x:f>IF(G48="definiert",'Stationen Abfrage dataprocessor'!$H$13+1,"")</x:f>
      </x:c>
      <x:c r="G48" s="182" t="str">
        <x:f>IF(D48="nein","nicht_anwendbar",IF(D48&lt;&gt;"ja","Konfiguration fehlt",IF(OR(NOT(ISNUMBER('Stationen Abfrage dataprocessor'!$E$13)),NOT(ISNUMBER('Stationen Abfrage dataprocessor'!$G$13)),NOT(ISNUMBER('Stationen Abfrage dataprocessor'!$H$13))),"Konfiguration fehlt",IF(('Stationen Abfrage dataprocessor'!$H$13+1)&lt;=(MAX('Stationen Abfrage dataprocessor'!$E$13,'Stationen Abfrage dataprocessor'!$G$13)),"kein_beobachtetes_fenster","definiert"))))</x:f>
        <x:v>nicht_anwendbar</x:v>
      </x:c>
      <x:c r="H48" s="182" t="str">
        <x:v>ja</x:v>
      </x:c>
      <x:c r="I48" s="182" t="str">
        <x:v>ja</x:v>
      </x:c>
      <x:c r="J48" s="182" t="str">
        <x:f>'Stationen Abfrage dataprocessor'!$S$13</x:f>
        <x:v>nicht vorgesehen</x:v>
      </x:c>
      <x:c r="K48" s="190" t="str">
        <x:f>IF(G48="definiert",F48-E48,"")</x:f>
      </x:c>
      <x:c r="L48" s="182" t="n">
        <x:v>13</x:v>
      </x:c>
      <x:c r="M48" s="182" t="str">
        <x:f>IF('Stationen Abfrage dataprocessor'!$K$13="","",'Stationen Abfrage dataprocessor'!$K$13)</x:f>
        <x:v>Nur BS und TRS; nie CRS-A/CRS-B und kein RES. BS-Endregel: Studienende, letzter Tag vollständig enthalten.</x:v>
      </x:c>
      <x:c r="N48" s="182" t="str">
        <x:f>Definitionen!$B$2</x:f>
        <x:v>IP-COHORT-2026-10-28-01</x:v>
      </x:c>
    </x:row>
    <x:row r="49" ht="72" customHeight="1">
      <x:c r="A49" s="182" t="str">
        <x:f>'Stationen Abfrage dataprocessor'!$A$13</x:f>
        <x:v>UK Bonn</x:v>
      </x:c>
      <x:c r="B49" s="182" t="str">
        <x:f>'Stationen Abfrage dataprocessor'!$D$13</x:f>
        <x:v>Nasse II</x:v>
      </x:c>
      <x:c r="C49" s="182" t="str">
        <x:v>TRS</x:v>
      </x:c>
      <x:c r="D49" s="182" t="str">
        <x:f>'Stationen Abfrage dataprocessor'!$Q$13</x:f>
        <x:v>ja</x:v>
      </x:c>
      <x:c r="E49" s="189" t="n">
        <x:f>IF(G49="definiert",'Stationen Abfrage dataprocessor'!$E$13,"")</x:f>
        <x:v>45762</x:v>
      </x:c>
      <x:c r="F49" s="189" t="n">
        <x:f>IF(G49="definiert",'Stationen Abfrage dataprocessor'!$H$13+1,"")</x:f>
        <x:v>46266</x:v>
      </x:c>
      <x:c r="G49" s="182" t="str">
        <x:f>IF(D49="nein","nicht_anwendbar",IF(D49&lt;&gt;"ja","Konfiguration fehlt",IF(OR(NOT(ISNUMBER('Stationen Abfrage dataprocessor'!$E$13)),NOT(ISNUMBER('Stationen Abfrage dataprocessor'!$H$13))),"Konfiguration fehlt",IF(('Stationen Abfrage dataprocessor'!$H$13+1)&lt;=('Stationen Abfrage dataprocessor'!$E$13),"kein_beobachtetes_fenster","definiert"))))</x:f>
        <x:v>definiert</x:v>
      </x:c>
      <x:c r="H49" s="182" t="str">
        <x:v>ja</x:v>
      </x:c>
      <x:c r="I49" s="182" t="str">
        <x:v>nein</x:v>
      </x:c>
      <x:c r="J49" s="182" t="str">
        <x:f>"nicht Voraussetzung"</x:f>
        <x:v>nicht Voraussetzung</x:v>
      </x:c>
      <x:c r="K49" s="190" t="n">
        <x:f>IF(G49="definiert",F49-E49,"")</x:f>
        <x:v>504</x:v>
      </x:c>
      <x:c r="L49" s="182" t="n">
        <x:v>13</x:v>
      </x:c>
      <x:c r="M49" s="182" t="str">
        <x:f>IF('Stationen Abfrage dataprocessor'!$K$13="","",'Stationen Abfrage dataprocessor'!$K$13)</x:f>
        <x:v>Nur BS und TRS; nie CRS-A/CRS-B und kein RES. BS-Endregel: Studienende, letzter Tag vollständig enthalten.</x:v>
      </x:c>
      <x:c r="N49" s="182" t="str">
        <x:f>Definitionen!$B$2</x:f>
        <x:v>IP-COHORT-2026-10-28-01</x:v>
      </x:c>
    </x:row>
    <x:row r="50" ht="72" customHeight="1">
      <x:c r="A50" s="182" t="str">
        <x:f>'Stationen Abfrage dataprocessor'!$A$14</x:f>
        <x:v>UK Bonn</x:v>
      </x:c>
      <x:c r="B50" s="182" t="str">
        <x:f>'Stationen Abfrage dataprocessor'!$D$14</x:f>
        <x:v>Station Hoffa</x:v>
      </x:c>
      <x:c r="C50" s="182" t="str">
        <x:v>BS</x:v>
      </x:c>
      <x:c r="D50" s="182" t="str">
        <x:f>'Stationen Abfrage dataprocessor'!$M$14</x:f>
        <x:v>ja</x:v>
      </x:c>
      <x:c r="E50" s="189" t="n">
        <x:f>IF(G50="definiert",'Stationen Abfrage dataprocessor'!$E$14,"")</x:f>
        <x:v>45680</x:v>
      </x:c>
      <x:c r="F50" s="189" t="n">
        <x:f>IF(G50="definiert",IF('Stationen Abfrage dataprocessor'!$T$14="Studienende",'Stationen Abfrage dataprocessor'!$H$14+1,MIN('Stationen Abfrage dataprocessor'!$F$14,'Stationen Abfrage dataprocessor'!$H$14+1)),"")</x:f>
        <x:v>46266</x:v>
      </x:c>
      <x:c r="G50" s="182" t="str">
        <x:f>IF(D50="nein","nicht_anwendbar",IF(D50&lt;&gt;"ja","Konfiguration fehlt",IF(OR(NOT(ISNUMBER('Stationen Abfrage dataprocessor'!$E$14)),NOT(ISNUMBER('Stationen Abfrage dataprocessor'!$H$14)),AND('Stationen Abfrage dataprocessor'!$T$14&lt;&gt;"Phasengrenze",'Stationen Abfrage dataprocessor'!$T$14&lt;&gt;"Studienende"),AND('Stationen Abfrage dataprocessor'!$T$14="Phasengrenze",NOT(ISNUMBER('Stationen Abfrage dataprocessor'!$F$14)))),"Konfiguration fehlt",IF((IF('Stationen Abfrage dataprocessor'!$T$14="Studienende",'Stationen Abfrage dataprocessor'!$H$14+1,MIN('Stationen Abfrage dataprocessor'!$F$14,'Stationen Abfrage dataprocessor'!$H$14+1)))&lt;=('Stationen Abfrage dataprocessor'!$E$14),"kein_beobachtetes_fenster","definiert"))))</x:f>
        <x:v>definiert</x:v>
      </x:c>
      <x:c r="H50" s="182" t="str">
        <x:v>nein</x:v>
      </x:c>
      <x:c r="I50" s="182" t="str">
        <x:v>nein</x:v>
      </x:c>
      <x:c r="J50" s="182" t="str">
        <x:f>"nicht Voraussetzung"</x:f>
        <x:v>nicht Voraussetzung</x:v>
      </x:c>
      <x:c r="K50" s="190" t="n">
        <x:f>IF(G50="definiert",F50-E50,"")</x:f>
        <x:v>586</x:v>
      </x:c>
      <x:c r="L50" s="182" t="n">
        <x:v>14</x:v>
      </x:c>
      <x:c r="M50" s="182" t="str">
        <x:f>IF('Stationen Abfrage dataprocessor'!$K$14="","",'Stationen Abfrage dataprocessor'!$K$14)</x:f>
        <x:v>Nur BS und TRS; nie CRS-A/CRS-B und kein RES. BS-Endregel: Studienende, letzter Tag vollständig enthalten.</x:v>
      </x:c>
      <x:c r="N50" s="182" t="str">
        <x:f>Definitionen!$B$2</x:f>
        <x:v>IP-COHORT-2026-10-28-01</x:v>
      </x:c>
    </x:row>
    <x:row r="51" ht="72" customHeight="1">
      <x:c r="A51" s="182" t="str">
        <x:f>'Stationen Abfrage dataprocessor'!$A$14</x:f>
        <x:v>UK Bonn</x:v>
      </x:c>
      <x:c r="B51" s="182" t="str">
        <x:f>'Stationen Abfrage dataprocessor'!$D$14</x:f>
        <x:v>Station Hoffa</x:v>
      </x:c>
      <x:c r="C51" s="182" t="str">
        <x:v>CRS-A</x:v>
      </x:c>
      <x:c r="D51" s="182" t="str">
        <x:f>'Stationen Abfrage dataprocessor'!$N$14</x:f>
        <x:v>nein</x:v>
      </x:c>
      <x:c r="E51" s="189" t="str">
        <x:f>IF(G51="definiert",MAX('Stationen Abfrage dataprocessor'!$E$14,'Stationen Abfrage dataprocessor'!$F$14),"")</x:f>
      </x:c>
      <x:c r="F51" s="189" t="str">
        <x:f>IF(G51="definiert",MIN('Stationen Abfrage dataprocessor'!$G$14,'Stationen Abfrage dataprocessor'!$H$14+1),"")</x:f>
      </x:c>
      <x:c r="G51" s="182" t="str">
        <x:f>IF(D51="nein","nicht_anwendbar",IF(D51&lt;&gt;"ja","Konfiguration fehlt",IF(OR(NOT(ISNUMBER('Stationen Abfrage dataprocessor'!$E$14)),NOT(ISNUMBER('Stationen Abfrage dataprocessor'!$F$14)),NOT(ISNUMBER('Stationen Abfrage dataprocessor'!$G$14)),NOT(ISNUMBER('Stationen Abfrage dataprocessor'!$H$14))),"Konfiguration fehlt",IF((MIN('Stationen Abfrage dataprocessor'!$G$14,'Stationen Abfrage dataprocessor'!$H$14+1))&lt;=(MAX('Stationen Abfrage dataprocessor'!$E$14,'Stationen Abfrage dataprocessor'!$F$14)),"kein_beobachtetes_fenster","definiert"))))</x:f>
        <x:v>nicht_anwendbar</x:v>
      </x:c>
      <x:c r="H51" s="182" t="str">
        <x:v>nein</x:v>
      </x:c>
      <x:c r="I51" s="182" t="str">
        <x:v>nein</x:v>
      </x:c>
      <x:c r="J51" s="182" t="str">
        <x:f>"nicht Voraussetzung"</x:f>
        <x:v>nicht Voraussetzung</x:v>
      </x:c>
      <x:c r="K51" s="190" t="str">
        <x:f>IF(G51="definiert",F51-E51,"")</x:f>
      </x:c>
      <x:c r="L51" s="182" t="n">
        <x:v>14</x:v>
      </x:c>
      <x:c r="M51" s="182" t="str">
        <x:f>IF('Stationen Abfrage dataprocessor'!$K$14="","",'Stationen Abfrage dataprocessor'!$K$14)</x:f>
        <x:v>Nur BS und TRS; nie CRS-A/CRS-B und kein RES. BS-Endregel: Studienende, letzter Tag vollständig enthalten.</x:v>
      </x:c>
      <x:c r="N51" s="182" t="str">
        <x:f>Definitionen!$B$2</x:f>
        <x:v>IP-COHORT-2026-10-28-01</x:v>
      </x:c>
    </x:row>
    <x:row r="52" ht="72" customHeight="1">
      <x:c r="A52" s="182" t="str">
        <x:f>'Stationen Abfrage dataprocessor'!$A$14</x:f>
        <x:v>UK Bonn</x:v>
      </x:c>
      <x:c r="B52" s="182" t="str">
        <x:f>'Stationen Abfrage dataprocessor'!$D$14</x:f>
        <x:v>Station Hoffa</x:v>
      </x:c>
      <x:c r="C52" s="182" t="str">
        <x:v>CRS-B</x:v>
      </x:c>
      <x:c r="D52" s="182" t="str">
        <x:f>'Stationen Abfrage dataprocessor'!$O$14</x:f>
        <x:v>nein</x:v>
      </x:c>
      <x:c r="E52" s="189" t="str">
        <x:f>IF(G52="definiert",MAX('Stationen Abfrage dataprocessor'!$E$14,'Stationen Abfrage dataprocessor'!$G$14),"")</x:f>
      </x:c>
      <x:c r="F52" s="189" t="str">
        <x:f>IF(G52="definiert",'Stationen Abfrage dataprocessor'!$H$14+1,"")</x:f>
      </x:c>
      <x:c r="G52" s="182" t="str">
        <x:f>IF(D52="nein","nicht_anwendbar",IF(D52&lt;&gt;"ja","Konfiguration fehlt",IF(OR(NOT(ISNUMBER('Stationen Abfrage dataprocessor'!$E$14)),NOT(ISNUMBER('Stationen Abfrage dataprocessor'!$G$14)),NOT(ISNUMBER('Stationen Abfrage dataprocessor'!$H$14))),"Konfiguration fehlt",IF(('Stationen Abfrage dataprocessor'!$H$14+1)&lt;=(MAX('Stationen Abfrage dataprocessor'!$E$14,'Stationen Abfrage dataprocessor'!$G$14)),"kein_beobachtetes_fenster","definiert"))))</x:f>
        <x:v>nicht_anwendbar</x:v>
      </x:c>
      <x:c r="H52" s="182" t="str">
        <x:v>nein</x:v>
      </x:c>
      <x:c r="I52" s="182" t="str">
        <x:v>nein</x:v>
      </x:c>
      <x:c r="J52" s="182" t="str">
        <x:f>'Stationen Abfrage dataprocessor'!$S$14</x:f>
        <x:v>nicht vorgesehen</x:v>
      </x:c>
      <x:c r="K52" s="190" t="str">
        <x:f>IF(G52="definiert",F52-E52,"")</x:f>
      </x:c>
      <x:c r="L52" s="182" t="n">
        <x:v>14</x:v>
      </x:c>
      <x:c r="M52" s="182" t="str">
        <x:f>IF('Stationen Abfrage dataprocessor'!$K$14="","",'Stationen Abfrage dataprocessor'!$K$14)</x:f>
        <x:v>Nur BS und TRS; nie CRS-A/CRS-B und kein RES. BS-Endregel: Studienende, letzter Tag vollständig enthalten.</x:v>
      </x:c>
      <x:c r="N52" s="182" t="str">
        <x:f>Definitionen!$B$2</x:f>
        <x:v>IP-COHORT-2026-10-28-01</x:v>
      </x:c>
    </x:row>
    <x:row r="53" ht="72" customHeight="1">
      <x:c r="A53" s="182" t="str">
        <x:f>'Stationen Abfrage dataprocessor'!$A$14</x:f>
        <x:v>UK Bonn</x:v>
      </x:c>
      <x:c r="B53" s="182" t="str">
        <x:f>'Stationen Abfrage dataprocessor'!$D$14</x:f>
        <x:v>Station Hoffa</x:v>
      </x:c>
      <x:c r="C53" s="182" t="str">
        <x:v>RES</x:v>
      </x:c>
      <x:c r="D53" s="182" t="str">
        <x:f>'Stationen Abfrage dataprocessor'!$P$14</x:f>
        <x:v>nein</x:v>
      </x:c>
      <x:c r="E53" s="189" t="str">
        <x:f>IF(G53="definiert",MAX('Stationen Abfrage dataprocessor'!$E$14,'Stationen Abfrage dataprocessor'!$G$14),"")</x:f>
      </x:c>
      <x:c r="F53" s="189" t="str">
        <x:f>IF(G53="definiert",'Stationen Abfrage dataprocessor'!$H$14+1,"")</x:f>
      </x:c>
      <x:c r="G53" s="182" t="str">
        <x:f>IF(D53="nein","nicht_anwendbar",IF(D53&lt;&gt;"ja","Konfiguration fehlt",IF(OR(NOT(ISNUMBER('Stationen Abfrage dataprocessor'!$E$14)),NOT(ISNUMBER('Stationen Abfrage dataprocessor'!$G$14)),NOT(ISNUMBER('Stationen Abfrage dataprocessor'!$H$14))),"Konfiguration fehlt",IF(('Stationen Abfrage dataprocessor'!$H$14+1)&lt;=(MAX('Stationen Abfrage dataprocessor'!$E$14,'Stationen Abfrage dataprocessor'!$G$14)),"kein_beobachtetes_fenster","definiert"))))</x:f>
        <x:v>nicht_anwendbar</x:v>
      </x:c>
      <x:c r="H53" s="182" t="str">
        <x:v>ja</x:v>
      </x:c>
      <x:c r="I53" s="182" t="str">
        <x:v>ja</x:v>
      </x:c>
      <x:c r="J53" s="182" t="str">
        <x:f>'Stationen Abfrage dataprocessor'!$S$14</x:f>
        <x:v>nicht vorgesehen</x:v>
      </x:c>
      <x:c r="K53" s="190" t="str">
        <x:f>IF(G53="definiert",F53-E53,"")</x:f>
      </x:c>
      <x:c r="L53" s="182" t="n">
        <x:v>14</x:v>
      </x:c>
      <x:c r="M53" s="182" t="str">
        <x:f>IF('Stationen Abfrage dataprocessor'!$K$14="","",'Stationen Abfrage dataprocessor'!$K$14)</x:f>
        <x:v>Nur BS und TRS; nie CRS-A/CRS-B und kein RES. BS-Endregel: Studienende, letzter Tag vollständig enthalten.</x:v>
      </x:c>
      <x:c r="N53" s="182" t="str">
        <x:f>Definitionen!$B$2</x:f>
        <x:v>IP-COHORT-2026-10-28-01</x:v>
      </x:c>
    </x:row>
    <x:row r="54" ht="72" customHeight="1">
      <x:c r="A54" s="182" t="str">
        <x:f>'Stationen Abfrage dataprocessor'!$A$14</x:f>
        <x:v>UK Bonn</x:v>
      </x:c>
      <x:c r="B54" s="182" t="str">
        <x:f>'Stationen Abfrage dataprocessor'!$D$14</x:f>
        <x:v>Station Hoffa</x:v>
      </x:c>
      <x:c r="C54" s="182" t="str">
        <x:v>TRS</x:v>
      </x:c>
      <x:c r="D54" s="182" t="str">
        <x:f>'Stationen Abfrage dataprocessor'!$Q$14</x:f>
        <x:v>ja</x:v>
      </x:c>
      <x:c r="E54" s="189" t="n">
        <x:f>IF(G54="definiert",'Stationen Abfrage dataprocessor'!$E$14,"")</x:f>
        <x:v>45680</x:v>
      </x:c>
      <x:c r="F54" s="189" t="n">
        <x:f>IF(G54="definiert",'Stationen Abfrage dataprocessor'!$H$14+1,"")</x:f>
        <x:v>46266</x:v>
      </x:c>
      <x:c r="G54" s="182" t="str">
        <x:f>IF(D54="nein","nicht_anwendbar",IF(D54&lt;&gt;"ja","Konfiguration fehlt",IF(OR(NOT(ISNUMBER('Stationen Abfrage dataprocessor'!$E$14)),NOT(ISNUMBER('Stationen Abfrage dataprocessor'!$H$14))),"Konfiguration fehlt",IF(('Stationen Abfrage dataprocessor'!$H$14+1)&lt;=('Stationen Abfrage dataprocessor'!$E$14),"kein_beobachtetes_fenster","definiert"))))</x:f>
        <x:v>definiert</x:v>
      </x:c>
      <x:c r="H54" s="182" t="str">
        <x:v>ja</x:v>
      </x:c>
      <x:c r="I54" s="182" t="str">
        <x:v>nein</x:v>
      </x:c>
      <x:c r="J54" s="182" t="str">
        <x:f>"nicht Voraussetzung"</x:f>
        <x:v>nicht Voraussetzung</x:v>
      </x:c>
      <x:c r="K54" s="190" t="n">
        <x:f>IF(G54="definiert",F54-E54,"")</x:f>
        <x:v>586</x:v>
      </x:c>
      <x:c r="L54" s="182" t="n">
        <x:v>14</x:v>
      </x:c>
      <x:c r="M54" s="182" t="str">
        <x:f>IF('Stationen Abfrage dataprocessor'!$K$14="","",'Stationen Abfrage dataprocessor'!$K$14)</x:f>
        <x:v>Nur BS und TRS; nie CRS-A/CRS-B und kein RES. BS-Endregel: Studienende, letzter Tag vollständig enthalten.</x:v>
      </x:c>
      <x:c r="N54" s="182" t="str">
        <x:f>Definitionen!$B$2</x:f>
        <x:v>IP-COHORT-2026-10-28-01</x:v>
      </x:c>
    </x:row>
    <x:row r="55" ht="72" customHeight="1">
      <x:c r="A55" s="182" t="str">
        <x:f>'Stationen Abfrage dataprocessor'!$A$15</x:f>
        <x:v>UK Bonn</x:v>
      </x:c>
      <x:c r="B55" s="182" t="str">
        <x:f>'Stationen Abfrage dataprocessor'!$D$15</x:f>
        <x:v>Station Pauwels</x:v>
      </x:c>
      <x:c r="C55" s="182" t="str">
        <x:v>BS</x:v>
      </x:c>
      <x:c r="D55" s="182" t="str">
        <x:f>'Stationen Abfrage dataprocessor'!$M$15</x:f>
        <x:v>ja</x:v>
      </x:c>
      <x:c r="E55" s="189" t="n">
        <x:f>IF(G55="definiert",'Stationen Abfrage dataprocessor'!$E$15,"")</x:f>
        <x:v>45687</x:v>
      </x:c>
      <x:c r="F55" s="189" t="n">
        <x:f>IF(G55="definiert",IF('Stationen Abfrage dataprocessor'!$T$15="Studienende",'Stationen Abfrage dataprocessor'!$H$15+1,MIN('Stationen Abfrage dataprocessor'!$F$15,'Stationen Abfrage dataprocessor'!$H$15+1)),"")</x:f>
        <x:v>46266</x:v>
      </x:c>
      <x:c r="G55" s="182" t="str">
        <x:f>IF(D55="nein","nicht_anwendbar",IF(D55&lt;&gt;"ja","Konfiguration fehlt",IF(OR(NOT(ISNUMBER('Stationen Abfrage dataprocessor'!$E$15)),NOT(ISNUMBER('Stationen Abfrage dataprocessor'!$H$15)),AND('Stationen Abfrage dataprocessor'!$T$15&lt;&gt;"Phasengrenze",'Stationen Abfrage dataprocessor'!$T$15&lt;&gt;"Studienende"),AND('Stationen Abfrage dataprocessor'!$T$15="Phasengrenze",NOT(ISNUMBER('Stationen Abfrage dataprocessor'!$F$15)))),"Konfiguration fehlt",IF((IF('Stationen Abfrage dataprocessor'!$T$15="Studienende",'Stationen Abfrage dataprocessor'!$H$15+1,MIN('Stationen Abfrage dataprocessor'!$F$15,'Stationen Abfrage dataprocessor'!$H$15+1)))&lt;=('Stationen Abfrage dataprocessor'!$E$15),"kein_beobachtetes_fenster","definiert"))))</x:f>
        <x:v>definiert</x:v>
      </x:c>
      <x:c r="H55" s="182" t="str">
        <x:v>nein</x:v>
      </x:c>
      <x:c r="I55" s="182" t="str">
        <x:v>nein</x:v>
      </x:c>
      <x:c r="J55" s="182" t="str">
        <x:f>"nicht Voraussetzung"</x:f>
        <x:v>nicht Voraussetzung</x:v>
      </x:c>
      <x:c r="K55" s="190" t="n">
        <x:f>IF(G55="definiert",F55-E55,"")</x:f>
        <x:v>579</x:v>
      </x:c>
      <x:c r="L55" s="182" t="n">
        <x:v>15</x:v>
      </x:c>
      <x:c r="M55" s="182" t="str">
        <x:f>IF('Stationen Abfrage dataprocessor'!$K$15="","",'Stationen Abfrage dataprocessor'!$K$15)</x:f>
        <x:v>Nur BS und TRS; nie CRS-A/CRS-B und kein RES. BS-Endregel: Studienende, letzter Tag vollständig enthalten.</x:v>
      </x:c>
      <x:c r="N55" s="182" t="str">
        <x:f>Definitionen!$B$2</x:f>
        <x:v>IP-COHORT-2026-10-28-01</x:v>
      </x:c>
    </x:row>
    <x:row r="56" ht="72" customHeight="1">
      <x:c r="A56" s="182" t="str">
        <x:f>'Stationen Abfrage dataprocessor'!$A$15</x:f>
        <x:v>UK Bonn</x:v>
      </x:c>
      <x:c r="B56" s="182" t="str">
        <x:f>'Stationen Abfrage dataprocessor'!$D$15</x:f>
        <x:v>Station Pauwels</x:v>
      </x:c>
      <x:c r="C56" s="182" t="str">
        <x:v>CRS-A</x:v>
      </x:c>
      <x:c r="D56" s="182" t="str">
        <x:f>'Stationen Abfrage dataprocessor'!$N$15</x:f>
        <x:v>nein</x:v>
      </x:c>
      <x:c r="E56" s="189" t="str">
        <x:f>IF(G56="definiert",MAX('Stationen Abfrage dataprocessor'!$E$15,'Stationen Abfrage dataprocessor'!$F$15),"")</x:f>
      </x:c>
      <x:c r="F56" s="189" t="str">
        <x:f>IF(G56="definiert",MIN('Stationen Abfrage dataprocessor'!$G$15,'Stationen Abfrage dataprocessor'!$H$15+1),"")</x:f>
      </x:c>
      <x:c r="G56" s="182" t="str">
        <x:f>IF(D56="nein","nicht_anwendbar",IF(D56&lt;&gt;"ja","Konfiguration fehlt",IF(OR(NOT(ISNUMBER('Stationen Abfrage dataprocessor'!$E$15)),NOT(ISNUMBER('Stationen Abfrage dataprocessor'!$F$15)),NOT(ISNUMBER('Stationen Abfrage dataprocessor'!$G$15)),NOT(ISNUMBER('Stationen Abfrage dataprocessor'!$H$15))),"Konfiguration fehlt",IF((MIN('Stationen Abfrage dataprocessor'!$G$15,'Stationen Abfrage dataprocessor'!$H$15+1))&lt;=(MAX('Stationen Abfrage dataprocessor'!$E$15,'Stationen Abfrage dataprocessor'!$F$15)),"kein_beobachtetes_fenster","definiert"))))</x:f>
        <x:v>nicht_anwendbar</x:v>
      </x:c>
      <x:c r="H56" s="182" t="str">
        <x:v>nein</x:v>
      </x:c>
      <x:c r="I56" s="182" t="str">
        <x:v>nein</x:v>
      </x:c>
      <x:c r="J56" s="182" t="str">
        <x:f>"nicht Voraussetzung"</x:f>
        <x:v>nicht Voraussetzung</x:v>
      </x:c>
      <x:c r="K56" s="190" t="str">
        <x:f>IF(G56="definiert",F56-E56,"")</x:f>
      </x:c>
      <x:c r="L56" s="182" t="n">
        <x:v>15</x:v>
      </x:c>
      <x:c r="M56" s="182" t="str">
        <x:f>IF('Stationen Abfrage dataprocessor'!$K$15="","",'Stationen Abfrage dataprocessor'!$K$15)</x:f>
        <x:v>Nur BS und TRS; nie CRS-A/CRS-B und kein RES. BS-Endregel: Studienende, letzter Tag vollständig enthalten.</x:v>
      </x:c>
      <x:c r="N56" s="182" t="str">
        <x:f>Definitionen!$B$2</x:f>
        <x:v>IP-COHORT-2026-10-28-01</x:v>
      </x:c>
    </x:row>
    <x:row r="57" ht="72" customHeight="1">
      <x:c r="A57" s="182" t="str">
        <x:f>'Stationen Abfrage dataprocessor'!$A$15</x:f>
        <x:v>UK Bonn</x:v>
      </x:c>
      <x:c r="B57" s="182" t="str">
        <x:f>'Stationen Abfrage dataprocessor'!$D$15</x:f>
        <x:v>Station Pauwels</x:v>
      </x:c>
      <x:c r="C57" s="182" t="str">
        <x:v>CRS-B</x:v>
      </x:c>
      <x:c r="D57" s="182" t="str">
        <x:f>'Stationen Abfrage dataprocessor'!$O$15</x:f>
        <x:v>nein</x:v>
      </x:c>
      <x:c r="E57" s="189" t="str">
        <x:f>IF(G57="definiert",MAX('Stationen Abfrage dataprocessor'!$E$15,'Stationen Abfrage dataprocessor'!$G$15),"")</x:f>
      </x:c>
      <x:c r="F57" s="189" t="str">
        <x:f>IF(G57="definiert",'Stationen Abfrage dataprocessor'!$H$15+1,"")</x:f>
      </x:c>
      <x:c r="G57" s="182" t="str">
        <x:f>IF(D57="nein","nicht_anwendbar",IF(D57&lt;&gt;"ja","Konfiguration fehlt",IF(OR(NOT(ISNUMBER('Stationen Abfrage dataprocessor'!$E$15)),NOT(ISNUMBER('Stationen Abfrage dataprocessor'!$G$15)),NOT(ISNUMBER('Stationen Abfrage dataprocessor'!$H$15))),"Konfiguration fehlt",IF(('Stationen Abfrage dataprocessor'!$H$15+1)&lt;=(MAX('Stationen Abfrage dataprocessor'!$E$15,'Stationen Abfrage dataprocessor'!$G$15)),"kein_beobachtetes_fenster","definiert"))))</x:f>
        <x:v>nicht_anwendbar</x:v>
      </x:c>
      <x:c r="H57" s="182" t="str">
        <x:v>nein</x:v>
      </x:c>
      <x:c r="I57" s="182" t="str">
        <x:v>nein</x:v>
      </x:c>
      <x:c r="J57" s="182" t="str">
        <x:f>'Stationen Abfrage dataprocessor'!$S$15</x:f>
        <x:v>nicht vorgesehen</x:v>
      </x:c>
      <x:c r="K57" s="190" t="str">
        <x:f>IF(G57="definiert",F57-E57,"")</x:f>
      </x:c>
      <x:c r="L57" s="182" t="n">
        <x:v>15</x:v>
      </x:c>
      <x:c r="M57" s="182" t="str">
        <x:f>IF('Stationen Abfrage dataprocessor'!$K$15="","",'Stationen Abfrage dataprocessor'!$K$15)</x:f>
        <x:v>Nur BS und TRS; nie CRS-A/CRS-B und kein RES. BS-Endregel: Studienende, letzter Tag vollständig enthalten.</x:v>
      </x:c>
      <x:c r="N57" s="182" t="str">
        <x:f>Definitionen!$B$2</x:f>
        <x:v>IP-COHORT-2026-10-28-01</x:v>
      </x:c>
    </x:row>
    <x:row r="58" ht="72" customHeight="1">
      <x:c r="A58" s="182" t="str">
        <x:f>'Stationen Abfrage dataprocessor'!$A$15</x:f>
        <x:v>UK Bonn</x:v>
      </x:c>
      <x:c r="B58" s="182" t="str">
        <x:f>'Stationen Abfrage dataprocessor'!$D$15</x:f>
        <x:v>Station Pauwels</x:v>
      </x:c>
      <x:c r="C58" s="182" t="str">
        <x:v>RES</x:v>
      </x:c>
      <x:c r="D58" s="182" t="str">
        <x:f>'Stationen Abfrage dataprocessor'!$P$15</x:f>
        <x:v>nein</x:v>
      </x:c>
      <x:c r="E58" s="189" t="str">
        <x:f>IF(G58="definiert",MAX('Stationen Abfrage dataprocessor'!$E$15,'Stationen Abfrage dataprocessor'!$G$15),"")</x:f>
      </x:c>
      <x:c r="F58" s="189" t="str">
        <x:f>IF(G58="definiert",'Stationen Abfrage dataprocessor'!$H$15+1,"")</x:f>
      </x:c>
      <x:c r="G58" s="182" t="str">
        <x:f>IF(D58="nein","nicht_anwendbar",IF(D58&lt;&gt;"ja","Konfiguration fehlt",IF(OR(NOT(ISNUMBER('Stationen Abfrage dataprocessor'!$E$15)),NOT(ISNUMBER('Stationen Abfrage dataprocessor'!$G$15)),NOT(ISNUMBER('Stationen Abfrage dataprocessor'!$H$15))),"Konfiguration fehlt",IF(('Stationen Abfrage dataprocessor'!$H$15+1)&lt;=(MAX('Stationen Abfrage dataprocessor'!$E$15,'Stationen Abfrage dataprocessor'!$G$15)),"kein_beobachtetes_fenster","definiert"))))</x:f>
        <x:v>nicht_anwendbar</x:v>
      </x:c>
      <x:c r="H58" s="182" t="str">
        <x:v>ja</x:v>
      </x:c>
      <x:c r="I58" s="182" t="str">
        <x:v>ja</x:v>
      </x:c>
      <x:c r="J58" s="182" t="str">
        <x:f>'Stationen Abfrage dataprocessor'!$S$15</x:f>
        <x:v>nicht vorgesehen</x:v>
      </x:c>
      <x:c r="K58" s="190" t="str">
        <x:f>IF(G58="definiert",F58-E58,"")</x:f>
      </x:c>
      <x:c r="L58" s="182" t="n">
        <x:v>15</x:v>
      </x:c>
      <x:c r="M58" s="182" t="str">
        <x:f>IF('Stationen Abfrage dataprocessor'!$K$15="","",'Stationen Abfrage dataprocessor'!$K$15)</x:f>
        <x:v>Nur BS und TRS; nie CRS-A/CRS-B und kein RES. BS-Endregel: Studienende, letzter Tag vollständig enthalten.</x:v>
      </x:c>
      <x:c r="N58" s="182" t="str">
        <x:f>Definitionen!$B$2</x:f>
        <x:v>IP-COHORT-2026-10-28-01</x:v>
      </x:c>
    </x:row>
    <x:row r="59" ht="72" customHeight="1">
      <x:c r="A59" s="182" t="str">
        <x:f>'Stationen Abfrage dataprocessor'!$A$15</x:f>
        <x:v>UK Bonn</x:v>
      </x:c>
      <x:c r="B59" s="182" t="str">
        <x:f>'Stationen Abfrage dataprocessor'!$D$15</x:f>
        <x:v>Station Pauwels</x:v>
      </x:c>
      <x:c r="C59" s="182" t="str">
        <x:v>TRS</x:v>
      </x:c>
      <x:c r="D59" s="182" t="str">
        <x:f>'Stationen Abfrage dataprocessor'!$Q$15</x:f>
        <x:v>ja</x:v>
      </x:c>
      <x:c r="E59" s="189" t="n">
        <x:f>IF(G59="definiert",'Stationen Abfrage dataprocessor'!$E$15,"")</x:f>
        <x:v>45687</x:v>
      </x:c>
      <x:c r="F59" s="189" t="n">
        <x:f>IF(G59="definiert",'Stationen Abfrage dataprocessor'!$H$15+1,"")</x:f>
        <x:v>46266</x:v>
      </x:c>
      <x:c r="G59" s="182" t="str">
        <x:f>IF(D59="nein","nicht_anwendbar",IF(D59&lt;&gt;"ja","Konfiguration fehlt",IF(OR(NOT(ISNUMBER('Stationen Abfrage dataprocessor'!$E$15)),NOT(ISNUMBER('Stationen Abfrage dataprocessor'!$H$15))),"Konfiguration fehlt",IF(('Stationen Abfrage dataprocessor'!$H$15+1)&lt;=('Stationen Abfrage dataprocessor'!$E$15),"kein_beobachtetes_fenster","definiert"))))</x:f>
        <x:v>definiert</x:v>
      </x:c>
      <x:c r="H59" s="182" t="str">
        <x:v>ja</x:v>
      </x:c>
      <x:c r="I59" s="182" t="str">
        <x:v>nein</x:v>
      </x:c>
      <x:c r="J59" s="182" t="str">
        <x:f>"nicht Voraussetzung"</x:f>
        <x:v>nicht Voraussetzung</x:v>
      </x:c>
      <x:c r="K59" s="190" t="n">
        <x:f>IF(G59="definiert",F59-E59,"")</x:f>
        <x:v>579</x:v>
      </x:c>
      <x:c r="L59" s="182" t="n">
        <x:v>15</x:v>
      </x:c>
      <x:c r="M59" s="182" t="str">
        <x:f>IF('Stationen Abfrage dataprocessor'!$K$15="","",'Stationen Abfrage dataprocessor'!$K$15)</x:f>
        <x:v>Nur BS und TRS; nie CRS-A/CRS-B und kein RES. BS-Endregel: Studienende, letzter Tag vollständig enthalten.</x:v>
      </x:c>
      <x:c r="N59" s="182" t="str">
        <x:f>Definitionen!$B$2</x:f>
        <x:v>IP-COHORT-2026-10-28-01</x:v>
      </x:c>
    </x:row>
    <x:row r="60" ht="72" customHeight="1">
      <x:c r="A60" s="182" t="str">
        <x:f>'Stationen Abfrage dataprocessor'!$A$16</x:f>
        <x:v>UK Bonn</x:v>
      </x:c>
      <x:c r="B60" s="182" t="str">
        <x:f>'Stationen Abfrage dataprocessor'!$D$16</x:f>
        <x:v>Station Busch</x:v>
      </x:c>
      <x:c r="C60" s="182" t="str">
        <x:v>BS</x:v>
      </x:c>
      <x:c r="D60" s="182" t="str">
        <x:f>'Stationen Abfrage dataprocessor'!$M$16</x:f>
        <x:v>ja</x:v>
      </x:c>
      <x:c r="E60" s="189" t="n">
        <x:f>IF(G60="definiert",'Stationen Abfrage dataprocessor'!$E$16,"")</x:f>
        <x:v>45685</x:v>
      </x:c>
      <x:c r="F60" s="189" t="n">
        <x:f>IF(G60="definiert",IF('Stationen Abfrage dataprocessor'!$T$16="Studienende",'Stationen Abfrage dataprocessor'!$H$16+1,MIN('Stationen Abfrage dataprocessor'!$F$16,'Stationen Abfrage dataprocessor'!$H$16+1)),"")</x:f>
        <x:v>46266</x:v>
      </x:c>
      <x:c r="G60" s="182" t="str">
        <x:f>IF(D60="nein","nicht_anwendbar",IF(D60&lt;&gt;"ja","Konfiguration fehlt",IF(OR(NOT(ISNUMBER('Stationen Abfrage dataprocessor'!$E$16)),NOT(ISNUMBER('Stationen Abfrage dataprocessor'!$H$16)),AND('Stationen Abfrage dataprocessor'!$T$16&lt;&gt;"Phasengrenze",'Stationen Abfrage dataprocessor'!$T$16&lt;&gt;"Studienende"),AND('Stationen Abfrage dataprocessor'!$T$16="Phasengrenze",NOT(ISNUMBER('Stationen Abfrage dataprocessor'!$F$16)))),"Konfiguration fehlt",IF((IF('Stationen Abfrage dataprocessor'!$T$16="Studienende",'Stationen Abfrage dataprocessor'!$H$16+1,MIN('Stationen Abfrage dataprocessor'!$F$16,'Stationen Abfrage dataprocessor'!$H$16+1)))&lt;=('Stationen Abfrage dataprocessor'!$E$16),"kein_beobachtetes_fenster","definiert"))))</x:f>
        <x:v>definiert</x:v>
      </x:c>
      <x:c r="H60" s="182" t="str">
        <x:v>nein</x:v>
      </x:c>
      <x:c r="I60" s="182" t="str">
        <x:v>nein</x:v>
      </x:c>
      <x:c r="J60" s="182" t="str">
        <x:f>"nicht Voraussetzung"</x:f>
        <x:v>nicht Voraussetzung</x:v>
      </x:c>
      <x:c r="K60" s="190" t="n">
        <x:f>IF(G60="definiert",F60-E60,"")</x:f>
        <x:v>581</x:v>
      </x:c>
      <x:c r="L60" s="182" t="n">
        <x:v>16</x:v>
      </x:c>
      <x:c r="M60" s="182" t="str">
        <x:f>IF('Stationen Abfrage dataprocessor'!$K$16="","",'Stationen Abfrage dataprocessor'!$K$16)</x:f>
        <x:v>Nur BS und TRS; nie CRS-A/CRS-B und kein RES. BS-Endregel: Studienende, letzter Tag vollständig enthalten.</x:v>
      </x:c>
      <x:c r="N60" s="182" t="str">
        <x:f>Definitionen!$B$2</x:f>
        <x:v>IP-COHORT-2026-10-28-01</x:v>
      </x:c>
    </x:row>
    <x:row r="61" ht="72" customHeight="1">
      <x:c r="A61" s="182" t="str">
        <x:f>'Stationen Abfrage dataprocessor'!$A$16</x:f>
        <x:v>UK Bonn</x:v>
      </x:c>
      <x:c r="B61" s="182" t="str">
        <x:f>'Stationen Abfrage dataprocessor'!$D$16</x:f>
        <x:v>Station Busch</x:v>
      </x:c>
      <x:c r="C61" s="182" t="str">
        <x:v>CRS-A</x:v>
      </x:c>
      <x:c r="D61" s="182" t="str">
        <x:f>'Stationen Abfrage dataprocessor'!$N$16</x:f>
        <x:v>nein</x:v>
      </x:c>
      <x:c r="E61" s="189" t="str">
        <x:f>IF(G61="definiert",MAX('Stationen Abfrage dataprocessor'!$E$16,'Stationen Abfrage dataprocessor'!$F$16),"")</x:f>
      </x:c>
      <x:c r="F61" s="189" t="str">
        <x:f>IF(G61="definiert",MIN('Stationen Abfrage dataprocessor'!$G$16,'Stationen Abfrage dataprocessor'!$H$16+1),"")</x:f>
      </x:c>
      <x:c r="G61" s="182" t="str">
        <x:f>IF(D61="nein","nicht_anwendbar",IF(D61&lt;&gt;"ja","Konfiguration fehlt",IF(OR(NOT(ISNUMBER('Stationen Abfrage dataprocessor'!$E$16)),NOT(ISNUMBER('Stationen Abfrage dataprocessor'!$F$16)),NOT(ISNUMBER('Stationen Abfrage dataprocessor'!$G$16)),NOT(ISNUMBER('Stationen Abfrage dataprocessor'!$H$16))),"Konfiguration fehlt",IF((MIN('Stationen Abfrage dataprocessor'!$G$16,'Stationen Abfrage dataprocessor'!$H$16+1))&lt;=(MAX('Stationen Abfrage dataprocessor'!$E$16,'Stationen Abfrage dataprocessor'!$F$16)),"kein_beobachtetes_fenster","definiert"))))</x:f>
        <x:v>nicht_anwendbar</x:v>
      </x:c>
      <x:c r="H61" s="182" t="str">
        <x:v>nein</x:v>
      </x:c>
      <x:c r="I61" s="182" t="str">
        <x:v>nein</x:v>
      </x:c>
      <x:c r="J61" s="182" t="str">
        <x:f>"nicht Voraussetzung"</x:f>
        <x:v>nicht Voraussetzung</x:v>
      </x:c>
      <x:c r="K61" s="190" t="str">
        <x:f>IF(G61="definiert",F61-E61,"")</x:f>
      </x:c>
      <x:c r="L61" s="182" t="n">
        <x:v>16</x:v>
      </x:c>
      <x:c r="M61" s="182" t="str">
        <x:f>IF('Stationen Abfrage dataprocessor'!$K$16="","",'Stationen Abfrage dataprocessor'!$K$16)</x:f>
        <x:v>Nur BS und TRS; nie CRS-A/CRS-B und kein RES. BS-Endregel: Studienende, letzter Tag vollständig enthalten.</x:v>
      </x:c>
      <x:c r="N61" s="182" t="str">
        <x:f>Definitionen!$B$2</x:f>
        <x:v>IP-COHORT-2026-10-28-01</x:v>
      </x:c>
    </x:row>
    <x:row r="62" ht="72" customHeight="1">
      <x:c r="A62" s="182" t="str">
        <x:f>'Stationen Abfrage dataprocessor'!$A$16</x:f>
        <x:v>UK Bonn</x:v>
      </x:c>
      <x:c r="B62" s="182" t="str">
        <x:f>'Stationen Abfrage dataprocessor'!$D$16</x:f>
        <x:v>Station Busch</x:v>
      </x:c>
      <x:c r="C62" s="182" t="str">
        <x:v>CRS-B</x:v>
      </x:c>
      <x:c r="D62" s="182" t="str">
        <x:f>'Stationen Abfrage dataprocessor'!$O$16</x:f>
        <x:v>nein</x:v>
      </x:c>
      <x:c r="E62" s="189" t="str">
        <x:f>IF(G62="definiert",MAX('Stationen Abfrage dataprocessor'!$E$16,'Stationen Abfrage dataprocessor'!$G$16),"")</x:f>
      </x:c>
      <x:c r="F62" s="189" t="str">
        <x:f>IF(G62="definiert",'Stationen Abfrage dataprocessor'!$H$16+1,"")</x:f>
      </x:c>
      <x:c r="G62" s="182" t="str">
        <x:f>IF(D62="nein","nicht_anwendbar",IF(D62&lt;&gt;"ja","Konfiguration fehlt",IF(OR(NOT(ISNUMBER('Stationen Abfrage dataprocessor'!$E$16)),NOT(ISNUMBER('Stationen Abfrage dataprocessor'!$G$16)),NOT(ISNUMBER('Stationen Abfrage dataprocessor'!$H$16))),"Konfiguration fehlt",IF(('Stationen Abfrage dataprocessor'!$H$16+1)&lt;=(MAX('Stationen Abfrage dataprocessor'!$E$16,'Stationen Abfrage dataprocessor'!$G$16)),"kein_beobachtetes_fenster","definiert"))))</x:f>
        <x:v>nicht_anwendbar</x:v>
      </x:c>
      <x:c r="H62" s="182" t="str">
        <x:v>nein</x:v>
      </x:c>
      <x:c r="I62" s="182" t="str">
        <x:v>nein</x:v>
      </x:c>
      <x:c r="J62" s="182" t="str">
        <x:f>'Stationen Abfrage dataprocessor'!$S$16</x:f>
        <x:v>nicht vorgesehen</x:v>
      </x:c>
      <x:c r="K62" s="190" t="str">
        <x:f>IF(G62="definiert",F62-E62,"")</x:f>
      </x:c>
      <x:c r="L62" s="182" t="n">
        <x:v>16</x:v>
      </x:c>
      <x:c r="M62" s="182" t="str">
        <x:f>IF('Stationen Abfrage dataprocessor'!$K$16="","",'Stationen Abfrage dataprocessor'!$K$16)</x:f>
        <x:v>Nur BS und TRS; nie CRS-A/CRS-B und kein RES. BS-Endregel: Studienende, letzter Tag vollständig enthalten.</x:v>
      </x:c>
      <x:c r="N62" s="182" t="str">
        <x:f>Definitionen!$B$2</x:f>
        <x:v>IP-COHORT-2026-10-28-01</x:v>
      </x:c>
    </x:row>
    <x:row r="63" ht="72" customHeight="1">
      <x:c r="A63" s="182" t="str">
        <x:f>'Stationen Abfrage dataprocessor'!$A$16</x:f>
        <x:v>UK Bonn</x:v>
      </x:c>
      <x:c r="B63" s="182" t="str">
        <x:f>'Stationen Abfrage dataprocessor'!$D$16</x:f>
        <x:v>Station Busch</x:v>
      </x:c>
      <x:c r="C63" s="182" t="str">
        <x:v>RES</x:v>
      </x:c>
      <x:c r="D63" s="182" t="str">
        <x:f>'Stationen Abfrage dataprocessor'!$P$16</x:f>
        <x:v>nein</x:v>
      </x:c>
      <x:c r="E63" s="189" t="str">
        <x:f>IF(G63="definiert",MAX('Stationen Abfrage dataprocessor'!$E$16,'Stationen Abfrage dataprocessor'!$G$16),"")</x:f>
      </x:c>
      <x:c r="F63" s="189" t="str">
        <x:f>IF(G63="definiert",'Stationen Abfrage dataprocessor'!$H$16+1,"")</x:f>
      </x:c>
      <x:c r="G63" s="182" t="str">
        <x:f>IF(D63="nein","nicht_anwendbar",IF(D63&lt;&gt;"ja","Konfiguration fehlt",IF(OR(NOT(ISNUMBER('Stationen Abfrage dataprocessor'!$E$16)),NOT(ISNUMBER('Stationen Abfrage dataprocessor'!$G$16)),NOT(ISNUMBER('Stationen Abfrage dataprocessor'!$H$16))),"Konfiguration fehlt",IF(('Stationen Abfrage dataprocessor'!$H$16+1)&lt;=(MAX('Stationen Abfrage dataprocessor'!$E$16,'Stationen Abfrage dataprocessor'!$G$16)),"kein_beobachtetes_fenster","definiert"))))</x:f>
        <x:v>nicht_anwendbar</x:v>
      </x:c>
      <x:c r="H63" s="182" t="str">
        <x:v>ja</x:v>
      </x:c>
      <x:c r="I63" s="182" t="str">
        <x:v>ja</x:v>
      </x:c>
      <x:c r="J63" s="182" t="str">
        <x:f>'Stationen Abfrage dataprocessor'!$S$16</x:f>
        <x:v>nicht vorgesehen</x:v>
      </x:c>
      <x:c r="K63" s="190" t="str">
        <x:f>IF(G63="definiert",F63-E63,"")</x:f>
      </x:c>
      <x:c r="L63" s="182" t="n">
        <x:v>16</x:v>
      </x:c>
      <x:c r="M63" s="182" t="str">
        <x:f>IF('Stationen Abfrage dataprocessor'!$K$16="","",'Stationen Abfrage dataprocessor'!$K$16)</x:f>
        <x:v>Nur BS und TRS; nie CRS-A/CRS-B und kein RES. BS-Endregel: Studienende, letzter Tag vollständig enthalten.</x:v>
      </x:c>
      <x:c r="N63" s="182" t="str">
        <x:f>Definitionen!$B$2</x:f>
        <x:v>IP-COHORT-2026-10-28-01</x:v>
      </x:c>
    </x:row>
    <x:row r="64" ht="72" customHeight="1">
      <x:c r="A64" s="182" t="str">
        <x:f>'Stationen Abfrage dataprocessor'!$A$16</x:f>
        <x:v>UK Bonn</x:v>
      </x:c>
      <x:c r="B64" s="182" t="str">
        <x:f>'Stationen Abfrage dataprocessor'!$D$16</x:f>
        <x:v>Station Busch</x:v>
      </x:c>
      <x:c r="C64" s="182" t="str">
        <x:v>TRS</x:v>
      </x:c>
      <x:c r="D64" s="182" t="str">
        <x:f>'Stationen Abfrage dataprocessor'!$Q$16</x:f>
        <x:v>ja</x:v>
      </x:c>
      <x:c r="E64" s="189" t="n">
        <x:f>IF(G64="definiert",'Stationen Abfrage dataprocessor'!$E$16,"")</x:f>
        <x:v>45685</x:v>
      </x:c>
      <x:c r="F64" s="189" t="n">
        <x:f>IF(G64="definiert",'Stationen Abfrage dataprocessor'!$H$16+1,"")</x:f>
        <x:v>46266</x:v>
      </x:c>
      <x:c r="G64" s="182" t="str">
        <x:f>IF(D64="nein","nicht_anwendbar",IF(D64&lt;&gt;"ja","Konfiguration fehlt",IF(OR(NOT(ISNUMBER('Stationen Abfrage dataprocessor'!$E$16)),NOT(ISNUMBER('Stationen Abfrage dataprocessor'!$H$16))),"Konfiguration fehlt",IF(('Stationen Abfrage dataprocessor'!$H$16+1)&lt;=('Stationen Abfrage dataprocessor'!$E$16),"kein_beobachtetes_fenster","definiert"))))</x:f>
        <x:v>definiert</x:v>
      </x:c>
      <x:c r="H64" s="182" t="str">
        <x:v>ja</x:v>
      </x:c>
      <x:c r="I64" s="182" t="str">
        <x:v>nein</x:v>
      </x:c>
      <x:c r="J64" s="182" t="str">
        <x:f>"nicht Voraussetzung"</x:f>
        <x:v>nicht Voraussetzung</x:v>
      </x:c>
      <x:c r="K64" s="190" t="n">
        <x:f>IF(G64="definiert",F64-E64,"")</x:f>
        <x:v>581</x:v>
      </x:c>
      <x:c r="L64" s="182" t="n">
        <x:v>16</x:v>
      </x:c>
      <x:c r="M64" s="182" t="str">
        <x:f>IF('Stationen Abfrage dataprocessor'!$K$16="","",'Stationen Abfrage dataprocessor'!$K$16)</x:f>
        <x:v>Nur BS und TRS; nie CRS-A/CRS-B und kein RES. BS-Endregel: Studienende, letzter Tag vollständig enthalten.</x:v>
      </x:c>
      <x:c r="N64" s="182" t="str">
        <x:f>Definitionen!$B$2</x:f>
        <x:v>IP-COHORT-2026-10-28-01</x:v>
      </x:c>
    </x:row>
    <x:row r="65" ht="30" customHeight="1">
      <x:c r="A65" s="182" t="str">
        <x:f>'Stationen Abfrage dataprocessor'!$A$17</x:f>
        <x:v>UK Dresden</x:v>
      </x:c>
      <x:c r="B65" s="182" t="str">
        <x:f>'Stationen Abfrage dataprocessor'!$D$17</x:f>
        <x:v>MK3-S1 Interdisziplinäre Geriatrie</x:v>
      </x:c>
      <x:c r="C65" s="182" t="str">
        <x:v>BS</x:v>
      </x:c>
      <x:c r="D65" s="182" t="str">
        <x:f>'Stationen Abfrage dataprocessor'!$M$17</x:f>
        <x:v>ja</x:v>
      </x:c>
      <x:c r="E65" s="189" t="n">
        <x:f>IF(G65="definiert",'Stationen Abfrage dataprocessor'!$E$17,"")</x:f>
        <x:v>45627</x:v>
      </x:c>
      <x:c r="F65" s="189" t="n">
        <x:f>IF(G65="definiert",IF('Stationen Abfrage dataprocessor'!$T$17="Studienende",'Stationen Abfrage dataprocessor'!$H$17+1,MIN('Stationen Abfrage dataprocessor'!$F$17,'Stationen Abfrage dataprocessor'!$H$17+1)),"")</x:f>
        <x:v>46059</x:v>
      </x:c>
      <x:c r="G65" s="182" t="str">
        <x:f>IF(D65="nein","nicht_anwendbar",IF(D65&lt;&gt;"ja","Konfiguration fehlt",IF(OR(NOT(ISNUMBER('Stationen Abfrage dataprocessor'!$E$17)),NOT(ISNUMBER('Stationen Abfrage dataprocessor'!$H$17)),AND('Stationen Abfrage dataprocessor'!$T$17&lt;&gt;"Phasengrenze",'Stationen Abfrage dataprocessor'!$T$17&lt;&gt;"Studienende"),AND('Stationen Abfrage dataprocessor'!$T$17="Phasengrenze",NOT(ISNUMBER('Stationen Abfrage dataprocessor'!$F$17)))),"Konfiguration fehlt",IF((IF('Stationen Abfrage dataprocessor'!$T$17="Studienende",'Stationen Abfrage dataprocessor'!$H$17+1,MIN('Stationen Abfrage dataprocessor'!$F$17,'Stationen Abfrage dataprocessor'!$H$17+1)))&lt;=('Stationen Abfrage dataprocessor'!$E$17),"kein_beobachtetes_fenster","definiert"))))</x:f>
        <x:v>definiert</x:v>
      </x:c>
      <x:c r="H65" s="182" t="str">
        <x:v>nein</x:v>
      </x:c>
      <x:c r="I65" s="182" t="str">
        <x:v>nein</x:v>
      </x:c>
      <x:c r="J65" s="182" t="str">
        <x:f>"nicht Voraussetzung"</x:f>
        <x:v>nicht Voraussetzung</x:v>
      </x:c>
      <x:c r="K65" s="190" t="n">
        <x:f>IF(G65="definiert",F65-E65,"")</x:f>
        <x:v>432</x:v>
      </x:c>
      <x:c r="L65" s="182" t="n">
        <x:v>17</x:v>
      </x:c>
      <x:c r="M65" s="182" t="str">
        <x:f>IF('Stationen Abfrage dataprocessor'!$K$17="","",'Stationen Abfrage dataprocessor'!$K$17)</x:f>
      </x:c>
      <x:c r="N65" s="182" t="str">
        <x:f>Definitionen!$B$2</x:f>
        <x:v>IP-COHORT-2026-10-28-01</x:v>
      </x:c>
    </x:row>
    <x:row r="66" ht="30" customHeight="1">
      <x:c r="A66" s="182" t="str">
        <x:f>'Stationen Abfrage dataprocessor'!$A$17</x:f>
        <x:v>UK Dresden</x:v>
      </x:c>
      <x:c r="B66" s="182" t="str">
        <x:f>'Stationen Abfrage dataprocessor'!$D$17</x:f>
        <x:v>MK3-S1 Interdisziplinäre Geriatrie</x:v>
      </x:c>
      <x:c r="C66" s="182" t="str">
        <x:v>CRS-A</x:v>
      </x:c>
      <x:c r="D66" s="182" t="str">
        <x:f>'Stationen Abfrage dataprocessor'!$N$17</x:f>
        <x:v>ja</x:v>
      </x:c>
      <x:c r="E66" s="189" t="n">
        <x:f>IF(G66="definiert",MAX('Stationen Abfrage dataprocessor'!$E$17,'Stationen Abfrage dataprocessor'!$F$17),"")</x:f>
        <x:v>46059</x:v>
      </x:c>
      <x:c r="F66" s="189" t="n">
        <x:f>IF(G66="definiert",MIN('Stationen Abfrage dataprocessor'!$G$17,'Stationen Abfrage dataprocessor'!$H$17+1),"")</x:f>
        <x:v>46087</x:v>
      </x:c>
      <x:c r="G66" s="182" t="str">
        <x:f>IF(D66="nein","nicht_anwendbar",IF(D66&lt;&gt;"ja","Konfiguration fehlt",IF(OR(NOT(ISNUMBER('Stationen Abfrage dataprocessor'!$E$17)),NOT(ISNUMBER('Stationen Abfrage dataprocessor'!$F$17)),NOT(ISNUMBER('Stationen Abfrage dataprocessor'!$G$17)),NOT(ISNUMBER('Stationen Abfrage dataprocessor'!$H$17))),"Konfiguration fehlt",IF((MIN('Stationen Abfrage dataprocessor'!$G$17,'Stationen Abfrage dataprocessor'!$H$17+1))&lt;=(MAX('Stationen Abfrage dataprocessor'!$E$17,'Stationen Abfrage dataprocessor'!$F$17)),"kein_beobachtetes_fenster","definiert"))))</x:f>
        <x:v>definiert</x:v>
      </x:c>
      <x:c r="H66" s="182" t="str">
        <x:v>nein</x:v>
      </x:c>
      <x:c r="I66" s="182" t="str">
        <x:v>nein</x:v>
      </x:c>
      <x:c r="J66" s="182" t="str">
        <x:f>"nicht Voraussetzung"</x:f>
        <x:v>nicht Voraussetzung</x:v>
      </x:c>
      <x:c r="K66" s="190" t="n">
        <x:f>IF(G66="definiert",F66-E66,"")</x:f>
        <x:v>28</x:v>
      </x:c>
      <x:c r="L66" s="182" t="n">
        <x:v>17</x:v>
      </x:c>
      <x:c r="M66" s="182" t="str">
        <x:f>IF('Stationen Abfrage dataprocessor'!$K$17="","",'Stationen Abfrage dataprocessor'!$K$17)</x:f>
      </x:c>
      <x:c r="N66" s="182" t="str">
        <x:f>Definitionen!$B$2</x:f>
        <x:v>IP-COHORT-2026-10-28-01</x:v>
      </x:c>
    </x:row>
    <x:row r="67" ht="30" customHeight="1">
      <x:c r="A67" s="182" t="str">
        <x:f>'Stationen Abfrage dataprocessor'!$A$17</x:f>
        <x:v>UK Dresden</x:v>
      </x:c>
      <x:c r="B67" s="182" t="str">
        <x:f>'Stationen Abfrage dataprocessor'!$D$17</x:f>
        <x:v>MK3-S1 Interdisziplinäre Geriatrie</x:v>
      </x:c>
      <x:c r="C67" s="182" t="str">
        <x:v>CRS-B</x:v>
      </x:c>
      <x:c r="D67" s="182" t="str">
        <x:f>'Stationen Abfrage dataprocessor'!$O$17</x:f>
        <x:v>ja</x:v>
      </x:c>
      <x:c r="E67" s="189" t="n">
        <x:f>IF(G67="definiert",MAX('Stationen Abfrage dataprocessor'!$E$17,'Stationen Abfrage dataprocessor'!$G$17),"")</x:f>
        <x:v>46087</x:v>
      </x:c>
      <x:c r="F67" s="189" t="n">
        <x:f>IF(G67="definiert",'Stationen Abfrage dataprocessor'!$H$17+1,"")</x:f>
        <x:v>46266</x:v>
      </x:c>
      <x:c r="G67" s="182" t="str">
        <x:f>IF(D67="nein","nicht_anwendbar",IF(D67&lt;&gt;"ja","Konfiguration fehlt",IF(OR(NOT(ISNUMBER('Stationen Abfrage dataprocessor'!$E$17)),NOT(ISNUMBER('Stationen Abfrage dataprocessor'!$G$17)),NOT(ISNUMBER('Stationen Abfrage dataprocessor'!$H$17))),"Konfiguration fehlt",IF(('Stationen Abfrage dataprocessor'!$H$17+1)&lt;=(MAX('Stationen Abfrage dataprocessor'!$E$17,'Stationen Abfrage dataprocessor'!$G$17)),"kein_beobachtetes_fenster","definiert"))))</x:f>
        <x:v>definiert</x:v>
      </x:c>
      <x:c r="H67" s="182" t="str">
        <x:v>nein</x:v>
      </x:c>
      <x:c r="I67" s="182" t="str">
        <x:v>nein</x:v>
      </x:c>
      <x:c r="J67" s="182" t="str">
        <x:f>'Stationen Abfrage dataprocessor'!$S$17</x:f>
        <x:v>fallbezogen prüfen</x:v>
      </x:c>
      <x:c r="K67" s="190" t="n">
        <x:f>IF(G67="definiert",F67-E67,"")</x:f>
        <x:v>179</x:v>
      </x:c>
      <x:c r="L67" s="182" t="n">
        <x:v>17</x:v>
      </x:c>
      <x:c r="M67" s="182" t="str">
        <x:f>IF('Stationen Abfrage dataprocessor'!$K$17="","",'Stationen Abfrage dataprocessor'!$K$17)</x:f>
      </x:c>
      <x:c r="N67" s="182" t="str">
        <x:f>Definitionen!$B$2</x:f>
        <x:v>IP-COHORT-2026-10-28-01</x:v>
      </x:c>
    </x:row>
    <x:row r="68" ht="30" customHeight="1">
      <x:c r="A68" s="182" t="str">
        <x:f>'Stationen Abfrage dataprocessor'!$A$17</x:f>
        <x:v>UK Dresden</x:v>
      </x:c>
      <x:c r="B68" s="182" t="str">
        <x:f>'Stationen Abfrage dataprocessor'!$D$17</x:f>
        <x:v>MK3-S1 Interdisziplinäre Geriatrie</x:v>
      </x:c>
      <x:c r="C68" s="182" t="str">
        <x:v>RES</x:v>
      </x:c>
      <x:c r="D68" s="182" t="str">
        <x:f>'Stationen Abfrage dataprocessor'!$P$17</x:f>
        <x:v>ja</x:v>
      </x:c>
      <x:c r="E68" s="189" t="n">
        <x:f>IF(G68="definiert",MAX('Stationen Abfrage dataprocessor'!$E$17,'Stationen Abfrage dataprocessor'!$G$17),"")</x:f>
        <x:v>46087</x:v>
      </x:c>
      <x:c r="F68" s="189" t="n">
        <x:f>IF(G68="definiert",'Stationen Abfrage dataprocessor'!$H$17+1,"")</x:f>
        <x:v>46266</x:v>
      </x:c>
      <x:c r="G68" s="182" t="str">
        <x:f>IF(D68="nein","nicht_anwendbar",IF(D68&lt;&gt;"ja","Konfiguration fehlt",IF(OR(NOT(ISNUMBER('Stationen Abfrage dataprocessor'!$E$17)),NOT(ISNUMBER('Stationen Abfrage dataprocessor'!$G$17)),NOT(ISNUMBER('Stationen Abfrage dataprocessor'!$H$17))),"Konfiguration fehlt",IF(('Stationen Abfrage dataprocessor'!$H$17+1)&lt;=(MAX('Stationen Abfrage dataprocessor'!$E$17,'Stationen Abfrage dataprocessor'!$G$17)),"kein_beobachtetes_fenster","definiert"))))</x:f>
        <x:v>definiert</x:v>
      </x:c>
      <x:c r="H68" s="182" t="str">
        <x:v>ja</x:v>
      </x:c>
      <x:c r="I68" s="182" t="str">
        <x:v>ja</x:v>
      </x:c>
      <x:c r="J68" s="182" t="str">
        <x:f>'Stationen Abfrage dataprocessor'!$S$17</x:f>
        <x:v>fallbezogen prüfen</x:v>
      </x:c>
      <x:c r="K68" s="190" t="n">
        <x:f>IF(G68="definiert",F68-E68,"")</x:f>
        <x:v>179</x:v>
      </x:c>
      <x:c r="L68" s="182" t="n">
        <x:v>17</x:v>
      </x:c>
      <x:c r="M68" s="182" t="str">
        <x:f>IF('Stationen Abfrage dataprocessor'!$K$17="","",'Stationen Abfrage dataprocessor'!$K$17)</x:f>
      </x:c>
      <x:c r="N68" s="182" t="str">
        <x:f>Definitionen!$B$2</x:f>
        <x:v>IP-COHORT-2026-10-28-01</x:v>
      </x:c>
    </x:row>
    <x:row r="69" ht="30" customHeight="1">
      <x:c r="A69" s="182" t="str">
        <x:f>'Stationen Abfrage dataprocessor'!$A$17</x:f>
        <x:v>UK Dresden</x:v>
      </x:c>
      <x:c r="B69" s="182" t="str">
        <x:f>'Stationen Abfrage dataprocessor'!$D$17</x:f>
        <x:v>MK3-S1 Interdisziplinäre Geriatrie</x:v>
      </x:c>
      <x:c r="C69" s="182" t="str">
        <x:v>TRS</x:v>
      </x:c>
      <x:c r="D69" s="182" t="str">
        <x:f>'Stationen Abfrage dataprocessor'!$Q$17</x:f>
        <x:v>ja</x:v>
      </x:c>
      <x:c r="E69" s="189" t="n">
        <x:f>IF(G69="definiert",'Stationen Abfrage dataprocessor'!$E$17,"")</x:f>
        <x:v>45627</x:v>
      </x:c>
      <x:c r="F69" s="189" t="n">
        <x:f>IF(G69="definiert",'Stationen Abfrage dataprocessor'!$H$17+1,"")</x:f>
        <x:v>46266</x:v>
      </x:c>
      <x:c r="G69" s="182" t="str">
        <x:f>IF(D69="nein","nicht_anwendbar",IF(D69&lt;&gt;"ja","Konfiguration fehlt",IF(OR(NOT(ISNUMBER('Stationen Abfrage dataprocessor'!$E$17)),NOT(ISNUMBER('Stationen Abfrage dataprocessor'!$H$17))),"Konfiguration fehlt",IF(('Stationen Abfrage dataprocessor'!$H$17+1)&lt;=('Stationen Abfrage dataprocessor'!$E$17),"kein_beobachtetes_fenster","definiert"))))</x:f>
        <x:v>definiert</x:v>
      </x:c>
      <x:c r="H69" s="182" t="str">
        <x:v>ja</x:v>
      </x:c>
      <x:c r="I69" s="182" t="str">
        <x:v>nein</x:v>
      </x:c>
      <x:c r="J69" s="182" t="str">
        <x:f>"nicht Voraussetzung"</x:f>
        <x:v>nicht Voraussetzung</x:v>
      </x:c>
      <x:c r="K69" s="190" t="n">
        <x:f>IF(G69="definiert",F69-E69,"")</x:f>
        <x:v>639</x:v>
      </x:c>
      <x:c r="L69" s="182" t="n">
        <x:v>17</x:v>
      </x:c>
      <x:c r="M69" s="182" t="str">
        <x:f>IF('Stationen Abfrage dataprocessor'!$K$17="","",'Stationen Abfrage dataprocessor'!$K$17)</x:f>
      </x:c>
      <x:c r="N69" s="182" t="str">
        <x:f>Definitionen!$B$2</x:f>
        <x:v>IP-COHORT-2026-10-28-01</x:v>
      </x:c>
    </x:row>
    <x:row r="70" ht="30" customHeight="1">
      <x:c r="A70" s="182" t="str">
        <x:f>'Stationen Abfrage dataprocessor'!$A$18</x:f>
        <x:v>UK Dresden</x:v>
      </x:c>
      <x:c r="B70" s="182" t="str">
        <x:f>'Stationen Abfrage dataprocessor'!$D$18</x:f>
        <x:v>OUC-S4 Orthopädie-Unfallchirurgie</x:v>
      </x:c>
      <x:c r="C70" s="182" t="str">
        <x:v>BS</x:v>
      </x:c>
      <x:c r="D70" s="182" t="str">
        <x:f>'Stationen Abfrage dataprocessor'!$M$18</x:f>
        <x:v>ja</x:v>
      </x:c>
      <x:c r="E70" s="189" t="n">
        <x:f>IF(G70="definiert",'Stationen Abfrage dataprocessor'!$E$18,"")</x:f>
        <x:v>45627</x:v>
      </x:c>
      <x:c r="F70" s="189" t="n">
        <x:f>IF(G70="definiert",IF('Stationen Abfrage dataprocessor'!$T$18="Studienende",'Stationen Abfrage dataprocessor'!$H$18+1,MIN('Stationen Abfrage dataprocessor'!$F$18,'Stationen Abfrage dataprocessor'!$H$18+1)),"")</x:f>
        <x:v>46059</x:v>
      </x:c>
      <x:c r="G70" s="182" t="str">
        <x:f>IF(D70="nein","nicht_anwendbar",IF(D70&lt;&gt;"ja","Konfiguration fehlt",IF(OR(NOT(ISNUMBER('Stationen Abfrage dataprocessor'!$E$18)),NOT(ISNUMBER('Stationen Abfrage dataprocessor'!$H$18)),AND('Stationen Abfrage dataprocessor'!$T$18&lt;&gt;"Phasengrenze",'Stationen Abfrage dataprocessor'!$T$18&lt;&gt;"Studienende"),AND('Stationen Abfrage dataprocessor'!$T$18="Phasengrenze",NOT(ISNUMBER('Stationen Abfrage dataprocessor'!$F$18)))),"Konfiguration fehlt",IF((IF('Stationen Abfrage dataprocessor'!$T$18="Studienende",'Stationen Abfrage dataprocessor'!$H$18+1,MIN('Stationen Abfrage dataprocessor'!$F$18,'Stationen Abfrage dataprocessor'!$H$18+1)))&lt;=('Stationen Abfrage dataprocessor'!$E$18),"kein_beobachtetes_fenster","definiert"))))</x:f>
        <x:v>definiert</x:v>
      </x:c>
      <x:c r="H70" s="182" t="str">
        <x:v>nein</x:v>
      </x:c>
      <x:c r="I70" s="182" t="str">
        <x:v>nein</x:v>
      </x:c>
      <x:c r="J70" s="182" t="str">
        <x:f>"nicht Voraussetzung"</x:f>
        <x:v>nicht Voraussetzung</x:v>
      </x:c>
      <x:c r="K70" s="190" t="n">
        <x:f>IF(G70="definiert",F70-E70,"")</x:f>
        <x:v>432</x:v>
      </x:c>
      <x:c r="L70" s="182" t="n">
        <x:v>18</x:v>
      </x:c>
      <x:c r="M70" s="182" t="str">
        <x:f>IF('Stationen Abfrage dataprocessor'!$K$18="","",'Stationen Abfrage dataprocessor'!$K$18)</x:f>
      </x:c>
      <x:c r="N70" s="182" t="str">
        <x:f>Definitionen!$B$2</x:f>
        <x:v>IP-COHORT-2026-10-28-01</x:v>
      </x:c>
    </x:row>
    <x:row r="71" ht="30" customHeight="1">
      <x:c r="A71" s="182" t="str">
        <x:f>'Stationen Abfrage dataprocessor'!$A$18</x:f>
        <x:v>UK Dresden</x:v>
      </x:c>
      <x:c r="B71" s="182" t="str">
        <x:f>'Stationen Abfrage dataprocessor'!$D$18</x:f>
        <x:v>OUC-S4 Orthopädie-Unfallchirurgie</x:v>
      </x:c>
      <x:c r="C71" s="182" t="str">
        <x:v>CRS-A</x:v>
      </x:c>
      <x:c r="D71" s="182" t="str">
        <x:f>'Stationen Abfrage dataprocessor'!$N$18</x:f>
        <x:v>ja</x:v>
      </x:c>
      <x:c r="E71" s="189" t="n">
        <x:f>IF(G71="definiert",MAX('Stationen Abfrage dataprocessor'!$E$18,'Stationen Abfrage dataprocessor'!$F$18),"")</x:f>
        <x:v>46059</x:v>
      </x:c>
      <x:c r="F71" s="189" t="n">
        <x:f>IF(G71="definiert",MIN('Stationen Abfrage dataprocessor'!$G$18,'Stationen Abfrage dataprocessor'!$H$18+1),"")</x:f>
        <x:v>46087</x:v>
      </x:c>
      <x:c r="G71" s="182" t="str">
        <x:f>IF(D71="nein","nicht_anwendbar",IF(D71&lt;&gt;"ja","Konfiguration fehlt",IF(OR(NOT(ISNUMBER('Stationen Abfrage dataprocessor'!$E$18)),NOT(ISNUMBER('Stationen Abfrage dataprocessor'!$F$18)),NOT(ISNUMBER('Stationen Abfrage dataprocessor'!$G$18)),NOT(ISNUMBER('Stationen Abfrage dataprocessor'!$H$18))),"Konfiguration fehlt",IF((MIN('Stationen Abfrage dataprocessor'!$G$18,'Stationen Abfrage dataprocessor'!$H$18+1))&lt;=(MAX('Stationen Abfrage dataprocessor'!$E$18,'Stationen Abfrage dataprocessor'!$F$18)),"kein_beobachtetes_fenster","definiert"))))</x:f>
        <x:v>definiert</x:v>
      </x:c>
      <x:c r="H71" s="182" t="str">
        <x:v>nein</x:v>
      </x:c>
      <x:c r="I71" s="182" t="str">
        <x:v>nein</x:v>
      </x:c>
      <x:c r="J71" s="182" t="str">
        <x:f>"nicht Voraussetzung"</x:f>
        <x:v>nicht Voraussetzung</x:v>
      </x:c>
      <x:c r="K71" s="190" t="n">
        <x:f>IF(G71="definiert",F71-E71,"")</x:f>
        <x:v>28</x:v>
      </x:c>
      <x:c r="L71" s="182" t="n">
        <x:v>18</x:v>
      </x:c>
      <x:c r="M71" s="182" t="str">
        <x:f>IF('Stationen Abfrage dataprocessor'!$K$18="","",'Stationen Abfrage dataprocessor'!$K$18)</x:f>
      </x:c>
      <x:c r="N71" s="182" t="str">
        <x:f>Definitionen!$B$2</x:f>
        <x:v>IP-COHORT-2026-10-28-01</x:v>
      </x:c>
    </x:row>
    <x:row r="72" ht="30" customHeight="1">
      <x:c r="A72" s="182" t="str">
        <x:f>'Stationen Abfrage dataprocessor'!$A$18</x:f>
        <x:v>UK Dresden</x:v>
      </x:c>
      <x:c r="B72" s="182" t="str">
        <x:f>'Stationen Abfrage dataprocessor'!$D$18</x:f>
        <x:v>OUC-S4 Orthopädie-Unfallchirurgie</x:v>
      </x:c>
      <x:c r="C72" s="182" t="str">
        <x:v>CRS-B</x:v>
      </x:c>
      <x:c r="D72" s="182" t="str">
        <x:f>'Stationen Abfrage dataprocessor'!$O$18</x:f>
        <x:v>ja</x:v>
      </x:c>
      <x:c r="E72" s="189" t="n">
        <x:f>IF(G72="definiert",MAX('Stationen Abfrage dataprocessor'!$E$18,'Stationen Abfrage dataprocessor'!$G$18),"")</x:f>
        <x:v>46087</x:v>
      </x:c>
      <x:c r="F72" s="189" t="n">
        <x:f>IF(G72="definiert",'Stationen Abfrage dataprocessor'!$H$18+1,"")</x:f>
        <x:v>46266</x:v>
      </x:c>
      <x:c r="G72" s="182" t="str">
        <x:f>IF(D72="nein","nicht_anwendbar",IF(D72&lt;&gt;"ja","Konfiguration fehlt",IF(OR(NOT(ISNUMBER('Stationen Abfrage dataprocessor'!$E$18)),NOT(ISNUMBER('Stationen Abfrage dataprocessor'!$G$18)),NOT(ISNUMBER('Stationen Abfrage dataprocessor'!$H$18))),"Konfiguration fehlt",IF(('Stationen Abfrage dataprocessor'!$H$18+1)&lt;=(MAX('Stationen Abfrage dataprocessor'!$E$18,'Stationen Abfrage dataprocessor'!$G$18)),"kein_beobachtetes_fenster","definiert"))))</x:f>
        <x:v>definiert</x:v>
      </x:c>
      <x:c r="H72" s="182" t="str">
        <x:v>nein</x:v>
      </x:c>
      <x:c r="I72" s="182" t="str">
        <x:v>nein</x:v>
      </x:c>
      <x:c r="J72" s="182" t="str">
        <x:f>'Stationen Abfrage dataprocessor'!$S$18</x:f>
        <x:v>fallbezogen prüfen</x:v>
      </x:c>
      <x:c r="K72" s="190" t="n">
        <x:f>IF(G72="definiert",F72-E72,"")</x:f>
        <x:v>179</x:v>
      </x:c>
      <x:c r="L72" s="182" t="n">
        <x:v>18</x:v>
      </x:c>
      <x:c r="M72" s="182" t="str">
        <x:f>IF('Stationen Abfrage dataprocessor'!$K$18="","",'Stationen Abfrage dataprocessor'!$K$18)</x:f>
      </x:c>
      <x:c r="N72" s="182" t="str">
        <x:f>Definitionen!$B$2</x:f>
        <x:v>IP-COHORT-2026-10-28-01</x:v>
      </x:c>
    </x:row>
    <x:row r="73" ht="30" customHeight="1">
      <x:c r="A73" s="182" t="str">
        <x:f>'Stationen Abfrage dataprocessor'!$A$18</x:f>
        <x:v>UK Dresden</x:v>
      </x:c>
      <x:c r="B73" s="182" t="str">
        <x:f>'Stationen Abfrage dataprocessor'!$D$18</x:f>
        <x:v>OUC-S4 Orthopädie-Unfallchirurgie</x:v>
      </x:c>
      <x:c r="C73" s="182" t="str">
        <x:v>RES</x:v>
      </x:c>
      <x:c r="D73" s="182" t="str">
        <x:f>'Stationen Abfrage dataprocessor'!$P$18</x:f>
        <x:v>ja</x:v>
      </x:c>
      <x:c r="E73" s="189" t="n">
        <x:f>IF(G73="definiert",MAX('Stationen Abfrage dataprocessor'!$E$18,'Stationen Abfrage dataprocessor'!$G$18),"")</x:f>
        <x:v>46087</x:v>
      </x:c>
      <x:c r="F73" s="189" t="n">
        <x:f>IF(G73="definiert",'Stationen Abfrage dataprocessor'!$H$18+1,"")</x:f>
        <x:v>46266</x:v>
      </x:c>
      <x:c r="G73" s="182" t="str">
        <x:f>IF(D73="nein","nicht_anwendbar",IF(D73&lt;&gt;"ja","Konfiguration fehlt",IF(OR(NOT(ISNUMBER('Stationen Abfrage dataprocessor'!$E$18)),NOT(ISNUMBER('Stationen Abfrage dataprocessor'!$G$18)),NOT(ISNUMBER('Stationen Abfrage dataprocessor'!$H$18))),"Konfiguration fehlt",IF(('Stationen Abfrage dataprocessor'!$H$18+1)&lt;=(MAX('Stationen Abfrage dataprocessor'!$E$18,'Stationen Abfrage dataprocessor'!$G$18)),"kein_beobachtetes_fenster","definiert"))))</x:f>
        <x:v>definiert</x:v>
      </x:c>
      <x:c r="H73" s="182" t="str">
        <x:v>ja</x:v>
      </x:c>
      <x:c r="I73" s="182" t="str">
        <x:v>ja</x:v>
      </x:c>
      <x:c r="J73" s="182" t="str">
        <x:f>'Stationen Abfrage dataprocessor'!$S$18</x:f>
        <x:v>fallbezogen prüfen</x:v>
      </x:c>
      <x:c r="K73" s="190" t="n">
        <x:f>IF(G73="definiert",F73-E73,"")</x:f>
        <x:v>179</x:v>
      </x:c>
      <x:c r="L73" s="182" t="n">
        <x:v>18</x:v>
      </x:c>
      <x:c r="M73" s="182" t="str">
        <x:f>IF('Stationen Abfrage dataprocessor'!$K$18="","",'Stationen Abfrage dataprocessor'!$K$18)</x:f>
      </x:c>
      <x:c r="N73" s="182" t="str">
        <x:f>Definitionen!$B$2</x:f>
        <x:v>IP-COHORT-2026-10-28-01</x:v>
      </x:c>
    </x:row>
    <x:row r="74" ht="30" customHeight="1">
      <x:c r="A74" s="182" t="str">
        <x:f>'Stationen Abfrage dataprocessor'!$A$18</x:f>
        <x:v>UK Dresden</x:v>
      </x:c>
      <x:c r="B74" s="182" t="str">
        <x:f>'Stationen Abfrage dataprocessor'!$D$18</x:f>
        <x:v>OUC-S4 Orthopädie-Unfallchirurgie</x:v>
      </x:c>
      <x:c r="C74" s="182" t="str">
        <x:v>TRS</x:v>
      </x:c>
      <x:c r="D74" s="182" t="str">
        <x:f>'Stationen Abfrage dataprocessor'!$Q$18</x:f>
        <x:v>ja</x:v>
      </x:c>
      <x:c r="E74" s="189" t="n">
        <x:f>IF(G74="definiert",'Stationen Abfrage dataprocessor'!$E$18,"")</x:f>
        <x:v>45627</x:v>
      </x:c>
      <x:c r="F74" s="189" t="n">
        <x:f>IF(G74="definiert",'Stationen Abfrage dataprocessor'!$H$18+1,"")</x:f>
        <x:v>46266</x:v>
      </x:c>
      <x:c r="G74" s="182" t="str">
        <x:f>IF(D74="nein","nicht_anwendbar",IF(D74&lt;&gt;"ja","Konfiguration fehlt",IF(OR(NOT(ISNUMBER('Stationen Abfrage dataprocessor'!$E$18)),NOT(ISNUMBER('Stationen Abfrage dataprocessor'!$H$18))),"Konfiguration fehlt",IF(('Stationen Abfrage dataprocessor'!$H$18+1)&lt;=('Stationen Abfrage dataprocessor'!$E$18),"kein_beobachtetes_fenster","definiert"))))</x:f>
        <x:v>definiert</x:v>
      </x:c>
      <x:c r="H74" s="182" t="str">
        <x:v>ja</x:v>
      </x:c>
      <x:c r="I74" s="182" t="str">
        <x:v>nein</x:v>
      </x:c>
      <x:c r="J74" s="182" t="str">
        <x:f>"nicht Voraussetzung"</x:f>
        <x:v>nicht Voraussetzung</x:v>
      </x:c>
      <x:c r="K74" s="190" t="n">
        <x:f>IF(G74="definiert",F74-E74,"")</x:f>
        <x:v>639</x:v>
      </x:c>
      <x:c r="L74" s="182" t="n">
        <x:v>18</x:v>
      </x:c>
      <x:c r="M74" s="182" t="str">
        <x:f>IF('Stationen Abfrage dataprocessor'!$K$18="","",'Stationen Abfrage dataprocessor'!$K$18)</x:f>
      </x:c>
      <x:c r="N74" s="182" t="str">
        <x:f>Definitionen!$B$2</x:f>
        <x:v>IP-COHORT-2026-10-28-01</x:v>
      </x:c>
    </x:row>
    <x:row r="75" ht="30" customHeight="1">
      <x:c r="A75" s="182" t="str">
        <x:f>'Stationen Abfrage dataprocessor'!$A$19</x:f>
        <x:v>UK Dresden</x:v>
      </x:c>
      <x:c r="B75" s="182" t="str">
        <x:f>'Stationen Abfrage dataprocessor'!$D$19</x:f>
        <x:v>MK1-S4 Gastroenterologie</x:v>
      </x:c>
      <x:c r="C75" s="182" t="str">
        <x:v>BS</x:v>
      </x:c>
      <x:c r="D75" s="182" t="str">
        <x:f>'Stationen Abfrage dataprocessor'!$M$19</x:f>
        <x:v>ja</x:v>
      </x:c>
      <x:c r="E75" s="189" t="n">
        <x:f>IF(G75="definiert",'Stationen Abfrage dataprocessor'!$E$19,"")</x:f>
        <x:v>45627</x:v>
      </x:c>
      <x:c r="F75" s="189" t="n">
        <x:f>IF(G75="definiert",IF('Stationen Abfrage dataprocessor'!$T$19="Studienende",'Stationen Abfrage dataprocessor'!$H$19+1,MIN('Stationen Abfrage dataprocessor'!$F$19,'Stationen Abfrage dataprocessor'!$H$19+1)),"")</x:f>
        <x:v>46059</x:v>
      </x:c>
      <x:c r="G75" s="182" t="str">
        <x:f>IF(D75="nein","nicht_anwendbar",IF(D75&lt;&gt;"ja","Konfiguration fehlt",IF(OR(NOT(ISNUMBER('Stationen Abfrage dataprocessor'!$E$19)),NOT(ISNUMBER('Stationen Abfrage dataprocessor'!$H$19)),AND('Stationen Abfrage dataprocessor'!$T$19&lt;&gt;"Phasengrenze",'Stationen Abfrage dataprocessor'!$T$19&lt;&gt;"Studienende"),AND('Stationen Abfrage dataprocessor'!$T$19="Phasengrenze",NOT(ISNUMBER('Stationen Abfrage dataprocessor'!$F$19)))),"Konfiguration fehlt",IF((IF('Stationen Abfrage dataprocessor'!$T$19="Studienende",'Stationen Abfrage dataprocessor'!$H$19+1,MIN('Stationen Abfrage dataprocessor'!$F$19,'Stationen Abfrage dataprocessor'!$H$19+1)))&lt;=('Stationen Abfrage dataprocessor'!$E$19),"kein_beobachtetes_fenster","definiert"))))</x:f>
        <x:v>definiert</x:v>
      </x:c>
      <x:c r="H75" s="182" t="str">
        <x:v>nein</x:v>
      </x:c>
      <x:c r="I75" s="182" t="str">
        <x:v>nein</x:v>
      </x:c>
      <x:c r="J75" s="182" t="str">
        <x:f>"nicht Voraussetzung"</x:f>
        <x:v>nicht Voraussetzung</x:v>
      </x:c>
      <x:c r="K75" s="190" t="n">
        <x:f>IF(G75="definiert",F75-E75,"")</x:f>
        <x:v>432</x:v>
      </x:c>
      <x:c r="L75" s="182" t="n">
        <x:v>19</x:v>
      </x:c>
      <x:c r="M75" s="182" t="str">
        <x:f>IF('Stationen Abfrage dataprocessor'!$K$19="","",'Stationen Abfrage dataprocessor'!$K$19)</x:f>
      </x:c>
      <x:c r="N75" s="182" t="str">
        <x:f>Definitionen!$B$2</x:f>
        <x:v>IP-COHORT-2026-10-28-01</x:v>
      </x:c>
    </x:row>
    <x:row r="76" ht="30" customHeight="1">
      <x:c r="A76" s="182" t="str">
        <x:f>'Stationen Abfrage dataprocessor'!$A$19</x:f>
        <x:v>UK Dresden</x:v>
      </x:c>
      <x:c r="B76" s="182" t="str">
        <x:f>'Stationen Abfrage dataprocessor'!$D$19</x:f>
        <x:v>MK1-S4 Gastroenterologie</x:v>
      </x:c>
      <x:c r="C76" s="182" t="str">
        <x:v>CRS-A</x:v>
      </x:c>
      <x:c r="D76" s="182" t="str">
        <x:f>'Stationen Abfrage dataprocessor'!$N$19</x:f>
        <x:v>ja</x:v>
      </x:c>
      <x:c r="E76" s="189" t="n">
        <x:f>IF(G76="definiert",MAX('Stationen Abfrage dataprocessor'!$E$19,'Stationen Abfrage dataprocessor'!$F$19),"")</x:f>
        <x:v>46059</x:v>
      </x:c>
      <x:c r="F76" s="189" t="n">
        <x:f>IF(G76="definiert",MIN('Stationen Abfrage dataprocessor'!$G$19,'Stationen Abfrage dataprocessor'!$H$19+1),"")</x:f>
        <x:v>46115</x:v>
      </x:c>
      <x:c r="G76" s="182" t="str">
        <x:f>IF(D76="nein","nicht_anwendbar",IF(D76&lt;&gt;"ja","Konfiguration fehlt",IF(OR(NOT(ISNUMBER('Stationen Abfrage dataprocessor'!$E$19)),NOT(ISNUMBER('Stationen Abfrage dataprocessor'!$F$19)),NOT(ISNUMBER('Stationen Abfrage dataprocessor'!$G$19)),NOT(ISNUMBER('Stationen Abfrage dataprocessor'!$H$19))),"Konfiguration fehlt",IF((MIN('Stationen Abfrage dataprocessor'!$G$19,'Stationen Abfrage dataprocessor'!$H$19+1))&lt;=(MAX('Stationen Abfrage dataprocessor'!$E$19,'Stationen Abfrage dataprocessor'!$F$19)),"kein_beobachtetes_fenster","definiert"))))</x:f>
        <x:v>definiert</x:v>
      </x:c>
      <x:c r="H76" s="182" t="str">
        <x:v>nein</x:v>
      </x:c>
      <x:c r="I76" s="182" t="str">
        <x:v>nein</x:v>
      </x:c>
      <x:c r="J76" s="182" t="str">
        <x:f>"nicht Voraussetzung"</x:f>
        <x:v>nicht Voraussetzung</x:v>
      </x:c>
      <x:c r="K76" s="190" t="n">
        <x:f>IF(G76="definiert",F76-E76,"")</x:f>
        <x:v>56</x:v>
      </x:c>
      <x:c r="L76" s="182" t="n">
        <x:v>19</x:v>
      </x:c>
      <x:c r="M76" s="182" t="str">
        <x:f>IF('Stationen Abfrage dataprocessor'!$K$19="","",'Stationen Abfrage dataprocessor'!$K$19)</x:f>
      </x:c>
      <x:c r="N76" s="182" t="str">
        <x:f>Definitionen!$B$2</x:f>
        <x:v>IP-COHORT-2026-10-28-01</x:v>
      </x:c>
    </x:row>
    <x:row r="77" ht="30" customHeight="1">
      <x:c r="A77" s="182" t="str">
        <x:f>'Stationen Abfrage dataprocessor'!$A$19</x:f>
        <x:v>UK Dresden</x:v>
      </x:c>
      <x:c r="B77" s="182" t="str">
        <x:f>'Stationen Abfrage dataprocessor'!$D$19</x:f>
        <x:v>MK1-S4 Gastroenterologie</x:v>
      </x:c>
      <x:c r="C77" s="182" t="str">
        <x:v>CRS-B</x:v>
      </x:c>
      <x:c r="D77" s="182" t="str">
        <x:f>'Stationen Abfrage dataprocessor'!$O$19</x:f>
        <x:v>ja</x:v>
      </x:c>
      <x:c r="E77" s="189" t="n">
        <x:f>IF(G77="definiert",MAX('Stationen Abfrage dataprocessor'!$E$19,'Stationen Abfrage dataprocessor'!$G$19),"")</x:f>
        <x:v>46115</x:v>
      </x:c>
      <x:c r="F77" s="189" t="n">
        <x:f>IF(G77="definiert",'Stationen Abfrage dataprocessor'!$H$19+1,"")</x:f>
        <x:v>46266</x:v>
      </x:c>
      <x:c r="G77" s="182" t="str">
        <x:f>IF(D77="nein","nicht_anwendbar",IF(D77&lt;&gt;"ja","Konfiguration fehlt",IF(OR(NOT(ISNUMBER('Stationen Abfrage dataprocessor'!$E$19)),NOT(ISNUMBER('Stationen Abfrage dataprocessor'!$G$19)),NOT(ISNUMBER('Stationen Abfrage dataprocessor'!$H$19))),"Konfiguration fehlt",IF(('Stationen Abfrage dataprocessor'!$H$19+1)&lt;=(MAX('Stationen Abfrage dataprocessor'!$E$19,'Stationen Abfrage dataprocessor'!$G$19)),"kein_beobachtetes_fenster","definiert"))))</x:f>
        <x:v>definiert</x:v>
      </x:c>
      <x:c r="H77" s="182" t="str">
        <x:v>nein</x:v>
      </x:c>
      <x:c r="I77" s="182" t="str">
        <x:v>nein</x:v>
      </x:c>
      <x:c r="J77" s="182" t="str">
        <x:f>'Stationen Abfrage dataprocessor'!$S$19</x:f>
        <x:v>fallbezogen prüfen</x:v>
      </x:c>
      <x:c r="K77" s="190" t="n">
        <x:f>IF(G77="definiert",F77-E77,"")</x:f>
        <x:v>151</x:v>
      </x:c>
      <x:c r="L77" s="182" t="n">
        <x:v>19</x:v>
      </x:c>
      <x:c r="M77" s="182" t="str">
        <x:f>IF('Stationen Abfrage dataprocessor'!$K$19="","",'Stationen Abfrage dataprocessor'!$K$19)</x:f>
      </x:c>
      <x:c r="N77" s="182" t="str">
        <x:f>Definitionen!$B$2</x:f>
        <x:v>IP-COHORT-2026-10-28-01</x:v>
      </x:c>
    </x:row>
    <x:row r="78" ht="30" customHeight="1">
      <x:c r="A78" s="182" t="str">
        <x:f>'Stationen Abfrage dataprocessor'!$A$19</x:f>
        <x:v>UK Dresden</x:v>
      </x:c>
      <x:c r="B78" s="182" t="str">
        <x:f>'Stationen Abfrage dataprocessor'!$D$19</x:f>
        <x:v>MK1-S4 Gastroenterologie</x:v>
      </x:c>
      <x:c r="C78" s="182" t="str">
        <x:v>RES</x:v>
      </x:c>
      <x:c r="D78" s="182" t="str">
        <x:f>'Stationen Abfrage dataprocessor'!$P$19</x:f>
        <x:v>ja</x:v>
      </x:c>
      <x:c r="E78" s="189" t="n">
        <x:f>IF(G78="definiert",MAX('Stationen Abfrage dataprocessor'!$E$19,'Stationen Abfrage dataprocessor'!$G$19),"")</x:f>
        <x:v>46115</x:v>
      </x:c>
      <x:c r="F78" s="189" t="n">
        <x:f>IF(G78="definiert",'Stationen Abfrage dataprocessor'!$H$19+1,"")</x:f>
        <x:v>46266</x:v>
      </x:c>
      <x:c r="G78" s="182" t="str">
        <x:f>IF(D78="nein","nicht_anwendbar",IF(D78&lt;&gt;"ja","Konfiguration fehlt",IF(OR(NOT(ISNUMBER('Stationen Abfrage dataprocessor'!$E$19)),NOT(ISNUMBER('Stationen Abfrage dataprocessor'!$G$19)),NOT(ISNUMBER('Stationen Abfrage dataprocessor'!$H$19))),"Konfiguration fehlt",IF(('Stationen Abfrage dataprocessor'!$H$19+1)&lt;=(MAX('Stationen Abfrage dataprocessor'!$E$19,'Stationen Abfrage dataprocessor'!$G$19)),"kein_beobachtetes_fenster","definiert"))))</x:f>
        <x:v>definiert</x:v>
      </x:c>
      <x:c r="H78" s="182" t="str">
        <x:v>ja</x:v>
      </x:c>
      <x:c r="I78" s="182" t="str">
        <x:v>ja</x:v>
      </x:c>
      <x:c r="J78" s="182" t="str">
        <x:f>'Stationen Abfrage dataprocessor'!$S$19</x:f>
        <x:v>fallbezogen prüfen</x:v>
      </x:c>
      <x:c r="K78" s="190" t="n">
        <x:f>IF(G78="definiert",F78-E78,"")</x:f>
        <x:v>151</x:v>
      </x:c>
      <x:c r="L78" s="182" t="n">
        <x:v>19</x:v>
      </x:c>
      <x:c r="M78" s="182" t="str">
        <x:f>IF('Stationen Abfrage dataprocessor'!$K$19="","",'Stationen Abfrage dataprocessor'!$K$19)</x:f>
      </x:c>
      <x:c r="N78" s="182" t="str">
        <x:f>Definitionen!$B$2</x:f>
        <x:v>IP-COHORT-2026-10-28-01</x:v>
      </x:c>
    </x:row>
    <x:row r="79" ht="30" customHeight="1">
      <x:c r="A79" s="182" t="str">
        <x:f>'Stationen Abfrage dataprocessor'!$A$19</x:f>
        <x:v>UK Dresden</x:v>
      </x:c>
      <x:c r="B79" s="182" t="str">
        <x:f>'Stationen Abfrage dataprocessor'!$D$19</x:f>
        <x:v>MK1-S4 Gastroenterologie</x:v>
      </x:c>
      <x:c r="C79" s="182" t="str">
        <x:v>TRS</x:v>
      </x:c>
      <x:c r="D79" s="182" t="str">
        <x:f>'Stationen Abfrage dataprocessor'!$Q$19</x:f>
        <x:v>ja</x:v>
      </x:c>
      <x:c r="E79" s="189" t="n">
        <x:f>IF(G79="definiert",'Stationen Abfrage dataprocessor'!$E$19,"")</x:f>
        <x:v>45627</x:v>
      </x:c>
      <x:c r="F79" s="189" t="n">
        <x:f>IF(G79="definiert",'Stationen Abfrage dataprocessor'!$H$19+1,"")</x:f>
        <x:v>46266</x:v>
      </x:c>
      <x:c r="G79" s="182" t="str">
        <x:f>IF(D79="nein","nicht_anwendbar",IF(D79&lt;&gt;"ja","Konfiguration fehlt",IF(OR(NOT(ISNUMBER('Stationen Abfrage dataprocessor'!$E$19)),NOT(ISNUMBER('Stationen Abfrage dataprocessor'!$H$19))),"Konfiguration fehlt",IF(('Stationen Abfrage dataprocessor'!$H$19+1)&lt;=('Stationen Abfrage dataprocessor'!$E$19),"kein_beobachtetes_fenster","definiert"))))</x:f>
        <x:v>definiert</x:v>
      </x:c>
      <x:c r="H79" s="182" t="str">
        <x:v>ja</x:v>
      </x:c>
      <x:c r="I79" s="182" t="str">
        <x:v>nein</x:v>
      </x:c>
      <x:c r="J79" s="182" t="str">
        <x:f>"nicht Voraussetzung"</x:f>
        <x:v>nicht Voraussetzung</x:v>
      </x:c>
      <x:c r="K79" s="190" t="n">
        <x:f>IF(G79="definiert",F79-E79,"")</x:f>
        <x:v>639</x:v>
      </x:c>
      <x:c r="L79" s="182" t="n">
        <x:v>19</x:v>
      </x:c>
      <x:c r="M79" s="182" t="str">
        <x:f>IF('Stationen Abfrage dataprocessor'!$K$19="","",'Stationen Abfrage dataprocessor'!$K$19)</x:f>
      </x:c>
      <x:c r="N79" s="182" t="str">
        <x:f>Definitionen!$B$2</x:f>
        <x:v>IP-COHORT-2026-10-28-01</x:v>
      </x:c>
    </x:row>
    <x:row r="80" ht="30" customHeight="1">
      <x:c r="A80" s="182" t="str">
        <x:f>'Stationen Abfrage dataprocessor'!$A$20</x:f>
        <x:v>UK Dresden</x:v>
      </x:c>
      <x:c r="B80" s="182" t="str">
        <x:f>'Stationen Abfrage dataprocessor'!$D$20</x:f>
        <x:v>STR-S1 Strahlentherapie</x:v>
      </x:c>
      <x:c r="C80" s="182" t="str">
        <x:v>BS</x:v>
      </x:c>
      <x:c r="D80" s="182" t="str">
        <x:f>'Stationen Abfrage dataprocessor'!$M$20</x:f>
        <x:v>ja</x:v>
      </x:c>
      <x:c r="E80" s="189" t="n">
        <x:f>IF(G80="definiert",'Stationen Abfrage dataprocessor'!$E$20,"")</x:f>
        <x:v>46054</x:v>
      </x:c>
      <x:c r="F80" s="189" t="n">
        <x:f>IF(G80="definiert",IF('Stationen Abfrage dataprocessor'!$T$20="Studienende",'Stationen Abfrage dataprocessor'!$H$20+1,MIN('Stationen Abfrage dataprocessor'!$F$20,'Stationen Abfrage dataprocessor'!$H$20+1)),"")</x:f>
        <x:v>46059</x:v>
      </x:c>
      <x:c r="G80" s="182" t="str">
        <x:f>IF(D80="nein","nicht_anwendbar",IF(D80&lt;&gt;"ja","Konfiguration fehlt",IF(OR(NOT(ISNUMBER('Stationen Abfrage dataprocessor'!$E$20)),NOT(ISNUMBER('Stationen Abfrage dataprocessor'!$H$20)),AND('Stationen Abfrage dataprocessor'!$T$20&lt;&gt;"Phasengrenze",'Stationen Abfrage dataprocessor'!$T$20&lt;&gt;"Studienende"),AND('Stationen Abfrage dataprocessor'!$T$20="Phasengrenze",NOT(ISNUMBER('Stationen Abfrage dataprocessor'!$F$20)))),"Konfiguration fehlt",IF((IF('Stationen Abfrage dataprocessor'!$T$20="Studienende",'Stationen Abfrage dataprocessor'!$H$20+1,MIN('Stationen Abfrage dataprocessor'!$F$20,'Stationen Abfrage dataprocessor'!$H$20+1)))&lt;=('Stationen Abfrage dataprocessor'!$E$20),"kein_beobachtetes_fenster","definiert"))))</x:f>
        <x:v>definiert</x:v>
      </x:c>
      <x:c r="H80" s="182" t="str">
        <x:v>nein</x:v>
      </x:c>
      <x:c r="I80" s="182" t="str">
        <x:v>nein</x:v>
      </x:c>
      <x:c r="J80" s="182" t="str">
        <x:f>"nicht Voraussetzung"</x:f>
        <x:v>nicht Voraussetzung</x:v>
      </x:c>
      <x:c r="K80" s="190" t="n">
        <x:f>IF(G80="definiert",F80-E80,"")</x:f>
        <x:v>5</x:v>
      </x:c>
      <x:c r="L80" s="182" t="n">
        <x:v>20</x:v>
      </x:c>
      <x:c r="M80" s="182" t="str">
        <x:f>IF('Stationen Abfrage dataprocessor'!$K$20="","",'Stationen Abfrage dataprocessor'!$K$20)</x:f>
      </x:c>
      <x:c r="N80" s="182" t="str">
        <x:f>Definitionen!$B$2</x:f>
        <x:v>IP-COHORT-2026-10-28-01</x:v>
      </x:c>
    </x:row>
    <x:row r="81" ht="30" customHeight="1">
      <x:c r="A81" s="182" t="str">
        <x:f>'Stationen Abfrage dataprocessor'!$A$20</x:f>
        <x:v>UK Dresden</x:v>
      </x:c>
      <x:c r="B81" s="182" t="str">
        <x:f>'Stationen Abfrage dataprocessor'!$D$20</x:f>
        <x:v>STR-S1 Strahlentherapie</x:v>
      </x:c>
      <x:c r="C81" s="182" t="str">
        <x:v>CRS-A</x:v>
      </x:c>
      <x:c r="D81" s="182" t="str">
        <x:f>'Stationen Abfrage dataprocessor'!$N$20</x:f>
        <x:v>ja</x:v>
      </x:c>
      <x:c r="E81" s="189" t="n">
        <x:f>IF(G81="definiert",MAX('Stationen Abfrage dataprocessor'!$E$20,'Stationen Abfrage dataprocessor'!$F$20),"")</x:f>
        <x:v>46059</x:v>
      </x:c>
      <x:c r="F81" s="189" t="n">
        <x:f>IF(G81="definiert",MIN('Stationen Abfrage dataprocessor'!$G$20,'Stationen Abfrage dataprocessor'!$H$20+1),"")</x:f>
        <x:v>46115</x:v>
      </x:c>
      <x:c r="G81" s="182" t="str">
        <x:f>IF(D81="nein","nicht_anwendbar",IF(D81&lt;&gt;"ja","Konfiguration fehlt",IF(OR(NOT(ISNUMBER('Stationen Abfrage dataprocessor'!$E$20)),NOT(ISNUMBER('Stationen Abfrage dataprocessor'!$F$20)),NOT(ISNUMBER('Stationen Abfrage dataprocessor'!$G$20)),NOT(ISNUMBER('Stationen Abfrage dataprocessor'!$H$20))),"Konfiguration fehlt",IF((MIN('Stationen Abfrage dataprocessor'!$G$20,'Stationen Abfrage dataprocessor'!$H$20+1))&lt;=(MAX('Stationen Abfrage dataprocessor'!$E$20,'Stationen Abfrage dataprocessor'!$F$20)),"kein_beobachtetes_fenster","definiert"))))</x:f>
        <x:v>definiert</x:v>
      </x:c>
      <x:c r="H81" s="182" t="str">
        <x:v>nein</x:v>
      </x:c>
      <x:c r="I81" s="182" t="str">
        <x:v>nein</x:v>
      </x:c>
      <x:c r="J81" s="182" t="str">
        <x:f>"nicht Voraussetzung"</x:f>
        <x:v>nicht Voraussetzung</x:v>
      </x:c>
      <x:c r="K81" s="190" t="n">
        <x:f>IF(G81="definiert",F81-E81,"")</x:f>
        <x:v>56</x:v>
      </x:c>
      <x:c r="L81" s="182" t="n">
        <x:v>20</x:v>
      </x:c>
      <x:c r="M81" s="182" t="str">
        <x:f>IF('Stationen Abfrage dataprocessor'!$K$20="","",'Stationen Abfrage dataprocessor'!$K$20)</x:f>
      </x:c>
      <x:c r="N81" s="182" t="str">
        <x:f>Definitionen!$B$2</x:f>
        <x:v>IP-COHORT-2026-10-28-01</x:v>
      </x:c>
    </x:row>
    <x:row r="82" ht="30" customHeight="1">
      <x:c r="A82" s="182" t="str">
        <x:f>'Stationen Abfrage dataprocessor'!$A$20</x:f>
        <x:v>UK Dresden</x:v>
      </x:c>
      <x:c r="B82" s="182" t="str">
        <x:f>'Stationen Abfrage dataprocessor'!$D$20</x:f>
        <x:v>STR-S1 Strahlentherapie</x:v>
      </x:c>
      <x:c r="C82" s="182" t="str">
        <x:v>CRS-B</x:v>
      </x:c>
      <x:c r="D82" s="182" t="str">
        <x:f>'Stationen Abfrage dataprocessor'!$O$20</x:f>
        <x:v>ja</x:v>
      </x:c>
      <x:c r="E82" s="189" t="n">
        <x:f>IF(G82="definiert",MAX('Stationen Abfrage dataprocessor'!$E$20,'Stationen Abfrage dataprocessor'!$G$20),"")</x:f>
        <x:v>46115</x:v>
      </x:c>
      <x:c r="F82" s="189" t="n">
        <x:f>IF(G82="definiert",'Stationen Abfrage dataprocessor'!$H$20+1,"")</x:f>
        <x:v>46266</x:v>
      </x:c>
      <x:c r="G82" s="182" t="str">
        <x:f>IF(D82="nein","nicht_anwendbar",IF(D82&lt;&gt;"ja","Konfiguration fehlt",IF(OR(NOT(ISNUMBER('Stationen Abfrage dataprocessor'!$E$20)),NOT(ISNUMBER('Stationen Abfrage dataprocessor'!$G$20)),NOT(ISNUMBER('Stationen Abfrage dataprocessor'!$H$20))),"Konfiguration fehlt",IF(('Stationen Abfrage dataprocessor'!$H$20+1)&lt;=(MAX('Stationen Abfrage dataprocessor'!$E$20,'Stationen Abfrage dataprocessor'!$G$20)),"kein_beobachtetes_fenster","definiert"))))</x:f>
        <x:v>definiert</x:v>
      </x:c>
      <x:c r="H82" s="182" t="str">
        <x:v>nein</x:v>
      </x:c>
      <x:c r="I82" s="182" t="str">
        <x:v>nein</x:v>
      </x:c>
      <x:c r="J82" s="182" t="str">
        <x:f>'Stationen Abfrage dataprocessor'!$S$20</x:f>
        <x:v>fallbezogen prüfen</x:v>
      </x:c>
      <x:c r="K82" s="190" t="n">
        <x:f>IF(G82="definiert",F82-E82,"")</x:f>
        <x:v>151</x:v>
      </x:c>
      <x:c r="L82" s="182" t="n">
        <x:v>20</x:v>
      </x:c>
      <x:c r="M82" s="182" t="str">
        <x:f>IF('Stationen Abfrage dataprocessor'!$K$20="","",'Stationen Abfrage dataprocessor'!$K$20)</x:f>
      </x:c>
      <x:c r="N82" s="182" t="str">
        <x:f>Definitionen!$B$2</x:f>
        <x:v>IP-COHORT-2026-10-28-01</x:v>
      </x:c>
    </x:row>
    <x:row r="83" ht="30" customHeight="1">
      <x:c r="A83" s="182" t="str">
        <x:f>'Stationen Abfrage dataprocessor'!$A$20</x:f>
        <x:v>UK Dresden</x:v>
      </x:c>
      <x:c r="B83" s="182" t="str">
        <x:f>'Stationen Abfrage dataprocessor'!$D$20</x:f>
        <x:v>STR-S1 Strahlentherapie</x:v>
      </x:c>
      <x:c r="C83" s="182" t="str">
        <x:v>RES</x:v>
      </x:c>
      <x:c r="D83" s="182" t="str">
        <x:f>'Stationen Abfrage dataprocessor'!$P$20</x:f>
        <x:v>ja</x:v>
      </x:c>
      <x:c r="E83" s="189" t="n">
        <x:f>IF(G83="definiert",MAX('Stationen Abfrage dataprocessor'!$E$20,'Stationen Abfrage dataprocessor'!$G$20),"")</x:f>
        <x:v>46115</x:v>
      </x:c>
      <x:c r="F83" s="189" t="n">
        <x:f>IF(G83="definiert",'Stationen Abfrage dataprocessor'!$H$20+1,"")</x:f>
        <x:v>46266</x:v>
      </x:c>
      <x:c r="G83" s="182" t="str">
        <x:f>IF(D83="nein","nicht_anwendbar",IF(D83&lt;&gt;"ja","Konfiguration fehlt",IF(OR(NOT(ISNUMBER('Stationen Abfrage dataprocessor'!$E$20)),NOT(ISNUMBER('Stationen Abfrage dataprocessor'!$G$20)),NOT(ISNUMBER('Stationen Abfrage dataprocessor'!$H$20))),"Konfiguration fehlt",IF(('Stationen Abfrage dataprocessor'!$H$20+1)&lt;=(MAX('Stationen Abfrage dataprocessor'!$E$20,'Stationen Abfrage dataprocessor'!$G$20)),"kein_beobachtetes_fenster","definiert"))))</x:f>
        <x:v>definiert</x:v>
      </x:c>
      <x:c r="H83" s="182" t="str">
        <x:v>ja</x:v>
      </x:c>
      <x:c r="I83" s="182" t="str">
        <x:v>ja</x:v>
      </x:c>
      <x:c r="J83" s="182" t="str">
        <x:f>'Stationen Abfrage dataprocessor'!$S$20</x:f>
        <x:v>fallbezogen prüfen</x:v>
      </x:c>
      <x:c r="K83" s="190" t="n">
        <x:f>IF(G83="definiert",F83-E83,"")</x:f>
        <x:v>151</x:v>
      </x:c>
      <x:c r="L83" s="182" t="n">
        <x:v>20</x:v>
      </x:c>
      <x:c r="M83" s="182" t="str">
        <x:f>IF('Stationen Abfrage dataprocessor'!$K$20="","",'Stationen Abfrage dataprocessor'!$K$20)</x:f>
      </x:c>
      <x:c r="N83" s="182" t="str">
        <x:f>Definitionen!$B$2</x:f>
        <x:v>IP-COHORT-2026-10-28-01</x:v>
      </x:c>
    </x:row>
    <x:row r="84" ht="30" customHeight="1">
      <x:c r="A84" s="182" t="str">
        <x:f>'Stationen Abfrage dataprocessor'!$A$20</x:f>
        <x:v>UK Dresden</x:v>
      </x:c>
      <x:c r="B84" s="182" t="str">
        <x:f>'Stationen Abfrage dataprocessor'!$D$20</x:f>
        <x:v>STR-S1 Strahlentherapie</x:v>
      </x:c>
      <x:c r="C84" s="182" t="str">
        <x:v>TRS</x:v>
      </x:c>
      <x:c r="D84" s="182" t="str">
        <x:f>'Stationen Abfrage dataprocessor'!$Q$20</x:f>
        <x:v>ja</x:v>
      </x:c>
      <x:c r="E84" s="189" t="n">
        <x:f>IF(G84="definiert",'Stationen Abfrage dataprocessor'!$E$20,"")</x:f>
        <x:v>46054</x:v>
      </x:c>
      <x:c r="F84" s="189" t="n">
        <x:f>IF(G84="definiert",'Stationen Abfrage dataprocessor'!$H$20+1,"")</x:f>
        <x:v>46266</x:v>
      </x:c>
      <x:c r="G84" s="182" t="str">
        <x:f>IF(D84="nein","nicht_anwendbar",IF(D84&lt;&gt;"ja","Konfiguration fehlt",IF(OR(NOT(ISNUMBER('Stationen Abfrage dataprocessor'!$E$20)),NOT(ISNUMBER('Stationen Abfrage dataprocessor'!$H$20))),"Konfiguration fehlt",IF(('Stationen Abfrage dataprocessor'!$H$20+1)&lt;=('Stationen Abfrage dataprocessor'!$E$20),"kein_beobachtetes_fenster","definiert"))))</x:f>
        <x:v>definiert</x:v>
      </x:c>
      <x:c r="H84" s="182" t="str">
        <x:v>ja</x:v>
      </x:c>
      <x:c r="I84" s="182" t="str">
        <x:v>nein</x:v>
      </x:c>
      <x:c r="J84" s="182" t="str">
        <x:f>"nicht Voraussetzung"</x:f>
        <x:v>nicht Voraussetzung</x:v>
      </x:c>
      <x:c r="K84" s="190" t="n">
        <x:f>IF(G84="definiert",F84-E84,"")</x:f>
        <x:v>212</x:v>
      </x:c>
      <x:c r="L84" s="182" t="n">
        <x:v>20</x:v>
      </x:c>
      <x:c r="M84" s="182" t="str">
        <x:f>IF('Stationen Abfrage dataprocessor'!$K$20="","",'Stationen Abfrage dataprocessor'!$K$20)</x:f>
      </x:c>
      <x:c r="N84" s="182" t="str">
        <x:f>Definitionen!$B$2</x:f>
        <x:v>IP-COHORT-2026-10-28-01</x:v>
      </x:c>
    </x:row>
    <x:row r="85" ht="30" customHeight="1">
      <x:c r="A85" s="182" t="str">
        <x:f>'Stationen Abfrage dataprocessor'!$A$21</x:f>
        <x:v>UK Dresden</x:v>
      </x:c>
      <x:c r="B85" s="182" t="str">
        <x:f>'Stationen Abfrage dataprocessor'!$D$21</x:f>
        <x:v>MK3-S3 Rheumatologie/ Stoffwechsel/ Endokrinologie</x:v>
      </x:c>
      <x:c r="C85" s="182" t="str">
        <x:v>BS</x:v>
      </x:c>
      <x:c r="D85" s="182" t="str">
        <x:f>'Stationen Abfrage dataprocessor'!$M$21</x:f>
        <x:v>ja</x:v>
      </x:c>
      <x:c r="E85" s="189" t="n">
        <x:f>IF(G85="definiert",'Stationen Abfrage dataprocessor'!$E$21,"")</x:f>
        <x:v>45627</x:v>
      </x:c>
      <x:c r="F85" s="189" t="n">
        <x:f>IF(G85="definiert",IF('Stationen Abfrage dataprocessor'!$T$21="Studienende",'Stationen Abfrage dataprocessor'!$H$21+1,MIN('Stationen Abfrage dataprocessor'!$F$21,'Stationen Abfrage dataprocessor'!$H$21+1)),"")</x:f>
        <x:v>46059</x:v>
      </x:c>
      <x:c r="G85" s="182" t="str">
        <x:f>IF(D85="nein","nicht_anwendbar",IF(D85&lt;&gt;"ja","Konfiguration fehlt",IF(OR(NOT(ISNUMBER('Stationen Abfrage dataprocessor'!$E$21)),NOT(ISNUMBER('Stationen Abfrage dataprocessor'!$H$21)),AND('Stationen Abfrage dataprocessor'!$T$21&lt;&gt;"Phasengrenze",'Stationen Abfrage dataprocessor'!$T$21&lt;&gt;"Studienende"),AND('Stationen Abfrage dataprocessor'!$T$21="Phasengrenze",NOT(ISNUMBER('Stationen Abfrage dataprocessor'!$F$21)))),"Konfiguration fehlt",IF((IF('Stationen Abfrage dataprocessor'!$T$21="Studienende",'Stationen Abfrage dataprocessor'!$H$21+1,MIN('Stationen Abfrage dataprocessor'!$F$21,'Stationen Abfrage dataprocessor'!$H$21+1)))&lt;=('Stationen Abfrage dataprocessor'!$E$21),"kein_beobachtetes_fenster","definiert"))))</x:f>
        <x:v>definiert</x:v>
      </x:c>
      <x:c r="H85" s="182" t="str">
        <x:v>nein</x:v>
      </x:c>
      <x:c r="I85" s="182" t="str">
        <x:v>nein</x:v>
      </x:c>
      <x:c r="J85" s="182" t="str">
        <x:f>"nicht Voraussetzung"</x:f>
        <x:v>nicht Voraussetzung</x:v>
      </x:c>
      <x:c r="K85" s="190" t="n">
        <x:f>IF(G85="definiert",F85-E85,"")</x:f>
        <x:v>432</x:v>
      </x:c>
      <x:c r="L85" s="182" t="n">
        <x:v>21</x:v>
      </x:c>
      <x:c r="M85" s="182" t="str">
        <x:f>IF('Stationen Abfrage dataprocessor'!$K$21="","",'Stationen Abfrage dataprocessor'!$K$21)</x:f>
      </x:c>
      <x:c r="N85" s="182" t="str">
        <x:f>Definitionen!$B$2</x:f>
        <x:v>IP-COHORT-2026-10-28-01</x:v>
      </x:c>
    </x:row>
    <x:row r="86" ht="30" customHeight="1">
      <x:c r="A86" s="182" t="str">
        <x:f>'Stationen Abfrage dataprocessor'!$A$21</x:f>
        <x:v>UK Dresden</x:v>
      </x:c>
      <x:c r="B86" s="182" t="str">
        <x:f>'Stationen Abfrage dataprocessor'!$D$21</x:f>
        <x:v>MK3-S3 Rheumatologie/ Stoffwechsel/ Endokrinologie</x:v>
      </x:c>
      <x:c r="C86" s="182" t="str">
        <x:v>CRS-A</x:v>
      </x:c>
      <x:c r="D86" s="182" t="str">
        <x:f>'Stationen Abfrage dataprocessor'!$N$21</x:f>
        <x:v>ja</x:v>
      </x:c>
      <x:c r="E86" s="189" t="n">
        <x:f>IF(G86="definiert",MAX('Stationen Abfrage dataprocessor'!$E$21,'Stationen Abfrage dataprocessor'!$F$21),"")</x:f>
        <x:v>46059</x:v>
      </x:c>
      <x:c r="F86" s="189" t="n">
        <x:f>IF(G86="definiert",MIN('Stationen Abfrage dataprocessor'!$G$21,'Stationen Abfrage dataprocessor'!$H$21+1),"")</x:f>
        <x:v>46143</x:v>
      </x:c>
      <x:c r="G86" s="182" t="str">
        <x:f>IF(D86="nein","nicht_anwendbar",IF(D86&lt;&gt;"ja","Konfiguration fehlt",IF(OR(NOT(ISNUMBER('Stationen Abfrage dataprocessor'!$E$21)),NOT(ISNUMBER('Stationen Abfrage dataprocessor'!$F$21)),NOT(ISNUMBER('Stationen Abfrage dataprocessor'!$G$21)),NOT(ISNUMBER('Stationen Abfrage dataprocessor'!$H$21))),"Konfiguration fehlt",IF((MIN('Stationen Abfrage dataprocessor'!$G$21,'Stationen Abfrage dataprocessor'!$H$21+1))&lt;=(MAX('Stationen Abfrage dataprocessor'!$E$21,'Stationen Abfrage dataprocessor'!$F$21)),"kein_beobachtetes_fenster","definiert"))))</x:f>
        <x:v>definiert</x:v>
      </x:c>
      <x:c r="H86" s="182" t="str">
        <x:v>nein</x:v>
      </x:c>
      <x:c r="I86" s="182" t="str">
        <x:v>nein</x:v>
      </x:c>
      <x:c r="J86" s="182" t="str">
        <x:f>"nicht Voraussetzung"</x:f>
        <x:v>nicht Voraussetzung</x:v>
      </x:c>
      <x:c r="K86" s="190" t="n">
        <x:f>IF(G86="definiert",F86-E86,"")</x:f>
        <x:v>84</x:v>
      </x:c>
      <x:c r="L86" s="182" t="n">
        <x:v>21</x:v>
      </x:c>
      <x:c r="M86" s="182" t="str">
        <x:f>IF('Stationen Abfrage dataprocessor'!$K$21="","",'Stationen Abfrage dataprocessor'!$K$21)</x:f>
      </x:c>
      <x:c r="N86" s="182" t="str">
        <x:f>Definitionen!$B$2</x:f>
        <x:v>IP-COHORT-2026-10-28-01</x:v>
      </x:c>
    </x:row>
    <x:row r="87" ht="30" customHeight="1">
      <x:c r="A87" s="182" t="str">
        <x:f>'Stationen Abfrage dataprocessor'!$A$21</x:f>
        <x:v>UK Dresden</x:v>
      </x:c>
      <x:c r="B87" s="182" t="str">
        <x:f>'Stationen Abfrage dataprocessor'!$D$21</x:f>
        <x:v>MK3-S3 Rheumatologie/ Stoffwechsel/ Endokrinologie</x:v>
      </x:c>
      <x:c r="C87" s="182" t="str">
        <x:v>CRS-B</x:v>
      </x:c>
      <x:c r="D87" s="182" t="str">
        <x:f>'Stationen Abfrage dataprocessor'!$O$21</x:f>
        <x:v>ja</x:v>
      </x:c>
      <x:c r="E87" s="189" t="n">
        <x:f>IF(G87="definiert",MAX('Stationen Abfrage dataprocessor'!$E$21,'Stationen Abfrage dataprocessor'!$G$21),"")</x:f>
        <x:v>46143</x:v>
      </x:c>
      <x:c r="F87" s="189" t="n">
        <x:f>IF(G87="definiert",'Stationen Abfrage dataprocessor'!$H$21+1,"")</x:f>
        <x:v>46266</x:v>
      </x:c>
      <x:c r="G87" s="182" t="str">
        <x:f>IF(D87="nein","nicht_anwendbar",IF(D87&lt;&gt;"ja","Konfiguration fehlt",IF(OR(NOT(ISNUMBER('Stationen Abfrage dataprocessor'!$E$21)),NOT(ISNUMBER('Stationen Abfrage dataprocessor'!$G$21)),NOT(ISNUMBER('Stationen Abfrage dataprocessor'!$H$21))),"Konfiguration fehlt",IF(('Stationen Abfrage dataprocessor'!$H$21+1)&lt;=(MAX('Stationen Abfrage dataprocessor'!$E$21,'Stationen Abfrage dataprocessor'!$G$21)),"kein_beobachtetes_fenster","definiert"))))</x:f>
        <x:v>definiert</x:v>
      </x:c>
      <x:c r="H87" s="182" t="str">
        <x:v>nein</x:v>
      </x:c>
      <x:c r="I87" s="182" t="str">
        <x:v>nein</x:v>
      </x:c>
      <x:c r="J87" s="182" t="str">
        <x:f>'Stationen Abfrage dataprocessor'!$S$21</x:f>
        <x:v>fallbezogen prüfen</x:v>
      </x:c>
      <x:c r="K87" s="190" t="n">
        <x:f>IF(G87="definiert",F87-E87,"")</x:f>
        <x:v>123</x:v>
      </x:c>
      <x:c r="L87" s="182" t="n">
        <x:v>21</x:v>
      </x:c>
      <x:c r="M87" s="182" t="str">
        <x:f>IF('Stationen Abfrage dataprocessor'!$K$21="","",'Stationen Abfrage dataprocessor'!$K$21)</x:f>
      </x:c>
      <x:c r="N87" s="182" t="str">
        <x:f>Definitionen!$B$2</x:f>
        <x:v>IP-COHORT-2026-10-28-01</x:v>
      </x:c>
    </x:row>
    <x:row r="88" ht="30" customHeight="1">
      <x:c r="A88" s="182" t="str">
        <x:f>'Stationen Abfrage dataprocessor'!$A$21</x:f>
        <x:v>UK Dresden</x:v>
      </x:c>
      <x:c r="B88" s="182" t="str">
        <x:f>'Stationen Abfrage dataprocessor'!$D$21</x:f>
        <x:v>MK3-S3 Rheumatologie/ Stoffwechsel/ Endokrinologie</x:v>
      </x:c>
      <x:c r="C88" s="182" t="str">
        <x:v>RES</x:v>
      </x:c>
      <x:c r="D88" s="182" t="str">
        <x:f>'Stationen Abfrage dataprocessor'!$P$21</x:f>
        <x:v>ja</x:v>
      </x:c>
      <x:c r="E88" s="189" t="n">
        <x:f>IF(G88="definiert",MAX('Stationen Abfrage dataprocessor'!$E$21,'Stationen Abfrage dataprocessor'!$G$21),"")</x:f>
        <x:v>46143</x:v>
      </x:c>
      <x:c r="F88" s="189" t="n">
        <x:f>IF(G88="definiert",'Stationen Abfrage dataprocessor'!$H$21+1,"")</x:f>
        <x:v>46266</x:v>
      </x:c>
      <x:c r="G88" s="182" t="str">
        <x:f>IF(D88="nein","nicht_anwendbar",IF(D88&lt;&gt;"ja","Konfiguration fehlt",IF(OR(NOT(ISNUMBER('Stationen Abfrage dataprocessor'!$E$21)),NOT(ISNUMBER('Stationen Abfrage dataprocessor'!$G$21)),NOT(ISNUMBER('Stationen Abfrage dataprocessor'!$H$21))),"Konfiguration fehlt",IF(('Stationen Abfrage dataprocessor'!$H$21+1)&lt;=(MAX('Stationen Abfrage dataprocessor'!$E$21,'Stationen Abfrage dataprocessor'!$G$21)),"kein_beobachtetes_fenster","definiert"))))</x:f>
        <x:v>definiert</x:v>
      </x:c>
      <x:c r="H88" s="182" t="str">
        <x:v>ja</x:v>
      </x:c>
      <x:c r="I88" s="182" t="str">
        <x:v>ja</x:v>
      </x:c>
      <x:c r="J88" s="182" t="str">
        <x:f>'Stationen Abfrage dataprocessor'!$S$21</x:f>
        <x:v>fallbezogen prüfen</x:v>
      </x:c>
      <x:c r="K88" s="190" t="n">
        <x:f>IF(G88="definiert",F88-E88,"")</x:f>
        <x:v>123</x:v>
      </x:c>
      <x:c r="L88" s="182" t="n">
        <x:v>21</x:v>
      </x:c>
      <x:c r="M88" s="182" t="str">
        <x:f>IF('Stationen Abfrage dataprocessor'!$K$21="","",'Stationen Abfrage dataprocessor'!$K$21)</x:f>
      </x:c>
      <x:c r="N88" s="182" t="str">
        <x:f>Definitionen!$B$2</x:f>
        <x:v>IP-COHORT-2026-10-28-01</x:v>
      </x:c>
    </x:row>
    <x:row r="89" ht="30" customHeight="1">
      <x:c r="A89" s="182" t="str">
        <x:f>'Stationen Abfrage dataprocessor'!$A$21</x:f>
        <x:v>UK Dresden</x:v>
      </x:c>
      <x:c r="B89" s="182" t="str">
        <x:f>'Stationen Abfrage dataprocessor'!$D$21</x:f>
        <x:v>MK3-S3 Rheumatologie/ Stoffwechsel/ Endokrinologie</x:v>
      </x:c>
      <x:c r="C89" s="182" t="str">
        <x:v>TRS</x:v>
      </x:c>
      <x:c r="D89" s="182" t="str">
        <x:f>'Stationen Abfrage dataprocessor'!$Q$21</x:f>
        <x:v>ja</x:v>
      </x:c>
      <x:c r="E89" s="189" t="n">
        <x:f>IF(G89="definiert",'Stationen Abfrage dataprocessor'!$E$21,"")</x:f>
        <x:v>45627</x:v>
      </x:c>
      <x:c r="F89" s="189" t="n">
        <x:f>IF(G89="definiert",'Stationen Abfrage dataprocessor'!$H$21+1,"")</x:f>
        <x:v>46266</x:v>
      </x:c>
      <x:c r="G89" s="182" t="str">
        <x:f>IF(D89="nein","nicht_anwendbar",IF(D89&lt;&gt;"ja","Konfiguration fehlt",IF(OR(NOT(ISNUMBER('Stationen Abfrage dataprocessor'!$E$21)),NOT(ISNUMBER('Stationen Abfrage dataprocessor'!$H$21))),"Konfiguration fehlt",IF(('Stationen Abfrage dataprocessor'!$H$21+1)&lt;=('Stationen Abfrage dataprocessor'!$E$21),"kein_beobachtetes_fenster","definiert"))))</x:f>
        <x:v>definiert</x:v>
      </x:c>
      <x:c r="H89" s="182" t="str">
        <x:v>ja</x:v>
      </x:c>
      <x:c r="I89" s="182" t="str">
        <x:v>nein</x:v>
      </x:c>
      <x:c r="J89" s="182" t="str">
        <x:f>"nicht Voraussetzung"</x:f>
        <x:v>nicht Voraussetzung</x:v>
      </x:c>
      <x:c r="K89" s="190" t="n">
        <x:f>IF(G89="definiert",F89-E89,"")</x:f>
        <x:v>639</x:v>
      </x:c>
      <x:c r="L89" s="182" t="n">
        <x:v>21</x:v>
      </x:c>
      <x:c r="M89" s="182" t="str">
        <x:f>IF('Stationen Abfrage dataprocessor'!$K$21="","",'Stationen Abfrage dataprocessor'!$K$21)</x:f>
      </x:c>
      <x:c r="N89" s="182" t="str">
        <x:f>Definitionen!$B$2</x:f>
        <x:v>IP-COHORT-2026-10-28-01</x:v>
      </x:c>
    </x:row>
    <x:row r="90" ht="30" customHeight="1">
      <x:c r="A90" s="182" t="str">
        <x:f>'Stationen Abfrage dataprocessor'!$A$22</x:f>
        <x:v>UK Dresden</x:v>
      </x:c>
      <x:c r="B90" s="182" t="str">
        <x:f>'Stationen Abfrage dataprocessor'!$D$22</x:f>
        <x:v>OUC-S1 Orthopädie-Unfallchirurgie</x:v>
      </x:c>
      <x:c r="C90" s="182" t="str">
        <x:v>BS</x:v>
      </x:c>
      <x:c r="D90" s="182" t="str">
        <x:f>'Stationen Abfrage dataprocessor'!$M$22</x:f>
        <x:v>ja</x:v>
      </x:c>
      <x:c r="E90" s="189" t="n">
        <x:f>IF(G90="definiert",'Stationen Abfrage dataprocessor'!$E$22,"")</x:f>
        <x:v>45627</x:v>
      </x:c>
      <x:c r="F90" s="189" t="n">
        <x:f>IF(G90="definiert",IF('Stationen Abfrage dataprocessor'!$T$22="Studienende",'Stationen Abfrage dataprocessor'!$H$22+1,MIN('Stationen Abfrage dataprocessor'!$F$22,'Stationen Abfrage dataprocessor'!$H$22+1)),"")</x:f>
        <x:v>46059</x:v>
      </x:c>
      <x:c r="G90" s="182" t="str">
        <x:f>IF(D90="nein","nicht_anwendbar",IF(D90&lt;&gt;"ja","Konfiguration fehlt",IF(OR(NOT(ISNUMBER('Stationen Abfrage dataprocessor'!$E$22)),NOT(ISNUMBER('Stationen Abfrage dataprocessor'!$H$22)),AND('Stationen Abfrage dataprocessor'!$T$22&lt;&gt;"Phasengrenze",'Stationen Abfrage dataprocessor'!$T$22&lt;&gt;"Studienende"),AND('Stationen Abfrage dataprocessor'!$T$22="Phasengrenze",NOT(ISNUMBER('Stationen Abfrage dataprocessor'!$F$22)))),"Konfiguration fehlt",IF((IF('Stationen Abfrage dataprocessor'!$T$22="Studienende",'Stationen Abfrage dataprocessor'!$H$22+1,MIN('Stationen Abfrage dataprocessor'!$F$22,'Stationen Abfrage dataprocessor'!$H$22+1)))&lt;=('Stationen Abfrage dataprocessor'!$E$22),"kein_beobachtetes_fenster","definiert"))))</x:f>
        <x:v>definiert</x:v>
      </x:c>
      <x:c r="H90" s="182" t="str">
        <x:v>nein</x:v>
      </x:c>
      <x:c r="I90" s="182" t="str">
        <x:v>nein</x:v>
      </x:c>
      <x:c r="J90" s="182" t="str">
        <x:f>"nicht Voraussetzung"</x:f>
        <x:v>nicht Voraussetzung</x:v>
      </x:c>
      <x:c r="K90" s="190" t="n">
        <x:f>IF(G90="definiert",F90-E90,"")</x:f>
        <x:v>432</x:v>
      </x:c>
      <x:c r="L90" s="182" t="n">
        <x:v>22</x:v>
      </x:c>
      <x:c r="M90" s="182" t="str">
        <x:f>IF('Stationen Abfrage dataprocessor'!$K$22="","",'Stationen Abfrage dataprocessor'!$K$22)</x:f>
      </x:c>
      <x:c r="N90" s="182" t="str">
        <x:f>Definitionen!$B$2</x:f>
        <x:v>IP-COHORT-2026-10-28-01</x:v>
      </x:c>
    </x:row>
    <x:row r="91" ht="30" customHeight="1">
      <x:c r="A91" s="182" t="str">
        <x:f>'Stationen Abfrage dataprocessor'!$A$22</x:f>
        <x:v>UK Dresden</x:v>
      </x:c>
      <x:c r="B91" s="182" t="str">
        <x:f>'Stationen Abfrage dataprocessor'!$D$22</x:f>
        <x:v>OUC-S1 Orthopädie-Unfallchirurgie</x:v>
      </x:c>
      <x:c r="C91" s="182" t="str">
        <x:v>CRS-A</x:v>
      </x:c>
      <x:c r="D91" s="182" t="str">
        <x:f>'Stationen Abfrage dataprocessor'!$N$22</x:f>
        <x:v>ja</x:v>
      </x:c>
      <x:c r="E91" s="189" t="n">
        <x:f>IF(G91="definiert",MAX('Stationen Abfrage dataprocessor'!$E$22,'Stationen Abfrage dataprocessor'!$F$22),"")</x:f>
        <x:v>46059</x:v>
      </x:c>
      <x:c r="F91" s="189" t="n">
        <x:f>IF(G91="definiert",MIN('Stationen Abfrage dataprocessor'!$G$22,'Stationen Abfrage dataprocessor'!$H$22+1),"")</x:f>
        <x:v>46143</x:v>
      </x:c>
      <x:c r="G91" s="182" t="str">
        <x:f>IF(D91="nein","nicht_anwendbar",IF(D91&lt;&gt;"ja","Konfiguration fehlt",IF(OR(NOT(ISNUMBER('Stationen Abfrage dataprocessor'!$E$22)),NOT(ISNUMBER('Stationen Abfrage dataprocessor'!$F$22)),NOT(ISNUMBER('Stationen Abfrage dataprocessor'!$G$22)),NOT(ISNUMBER('Stationen Abfrage dataprocessor'!$H$22))),"Konfiguration fehlt",IF((MIN('Stationen Abfrage dataprocessor'!$G$22,'Stationen Abfrage dataprocessor'!$H$22+1))&lt;=(MAX('Stationen Abfrage dataprocessor'!$E$22,'Stationen Abfrage dataprocessor'!$F$22)),"kein_beobachtetes_fenster","definiert"))))</x:f>
        <x:v>definiert</x:v>
      </x:c>
      <x:c r="H91" s="182" t="str">
        <x:v>nein</x:v>
      </x:c>
      <x:c r="I91" s="182" t="str">
        <x:v>nein</x:v>
      </x:c>
      <x:c r="J91" s="182" t="str">
        <x:f>"nicht Voraussetzung"</x:f>
        <x:v>nicht Voraussetzung</x:v>
      </x:c>
      <x:c r="K91" s="190" t="n">
        <x:f>IF(G91="definiert",F91-E91,"")</x:f>
        <x:v>84</x:v>
      </x:c>
      <x:c r="L91" s="182" t="n">
        <x:v>22</x:v>
      </x:c>
      <x:c r="M91" s="182" t="str">
        <x:f>IF('Stationen Abfrage dataprocessor'!$K$22="","",'Stationen Abfrage dataprocessor'!$K$22)</x:f>
      </x:c>
      <x:c r="N91" s="182" t="str">
        <x:f>Definitionen!$B$2</x:f>
        <x:v>IP-COHORT-2026-10-28-01</x:v>
      </x:c>
    </x:row>
    <x:row r="92" ht="30" customHeight="1">
      <x:c r="A92" s="182" t="str">
        <x:f>'Stationen Abfrage dataprocessor'!$A$22</x:f>
        <x:v>UK Dresden</x:v>
      </x:c>
      <x:c r="B92" s="182" t="str">
        <x:f>'Stationen Abfrage dataprocessor'!$D$22</x:f>
        <x:v>OUC-S1 Orthopädie-Unfallchirurgie</x:v>
      </x:c>
      <x:c r="C92" s="182" t="str">
        <x:v>CRS-B</x:v>
      </x:c>
      <x:c r="D92" s="182" t="str">
        <x:f>'Stationen Abfrage dataprocessor'!$O$22</x:f>
        <x:v>ja</x:v>
      </x:c>
      <x:c r="E92" s="189" t="n">
        <x:f>IF(G92="definiert",MAX('Stationen Abfrage dataprocessor'!$E$22,'Stationen Abfrage dataprocessor'!$G$22),"")</x:f>
        <x:v>46143</x:v>
      </x:c>
      <x:c r="F92" s="189" t="n">
        <x:f>IF(G92="definiert",'Stationen Abfrage dataprocessor'!$H$22+1,"")</x:f>
        <x:v>46266</x:v>
      </x:c>
      <x:c r="G92" s="182" t="str">
        <x:f>IF(D92="nein","nicht_anwendbar",IF(D92&lt;&gt;"ja","Konfiguration fehlt",IF(OR(NOT(ISNUMBER('Stationen Abfrage dataprocessor'!$E$22)),NOT(ISNUMBER('Stationen Abfrage dataprocessor'!$G$22)),NOT(ISNUMBER('Stationen Abfrage dataprocessor'!$H$22))),"Konfiguration fehlt",IF(('Stationen Abfrage dataprocessor'!$H$22+1)&lt;=(MAX('Stationen Abfrage dataprocessor'!$E$22,'Stationen Abfrage dataprocessor'!$G$22)),"kein_beobachtetes_fenster","definiert"))))</x:f>
        <x:v>definiert</x:v>
      </x:c>
      <x:c r="H92" s="182" t="str">
        <x:v>nein</x:v>
      </x:c>
      <x:c r="I92" s="182" t="str">
        <x:v>nein</x:v>
      </x:c>
      <x:c r="J92" s="182" t="str">
        <x:f>'Stationen Abfrage dataprocessor'!$S$22</x:f>
        <x:v>fallbezogen prüfen</x:v>
      </x:c>
      <x:c r="K92" s="190" t="n">
        <x:f>IF(G92="definiert",F92-E92,"")</x:f>
        <x:v>123</x:v>
      </x:c>
      <x:c r="L92" s="182" t="n">
        <x:v>22</x:v>
      </x:c>
      <x:c r="M92" s="182" t="str">
        <x:f>IF('Stationen Abfrage dataprocessor'!$K$22="","",'Stationen Abfrage dataprocessor'!$K$22)</x:f>
      </x:c>
      <x:c r="N92" s="182" t="str">
        <x:f>Definitionen!$B$2</x:f>
        <x:v>IP-COHORT-2026-10-28-01</x:v>
      </x:c>
    </x:row>
    <x:row r="93" ht="30" customHeight="1">
      <x:c r="A93" s="182" t="str">
        <x:f>'Stationen Abfrage dataprocessor'!$A$22</x:f>
        <x:v>UK Dresden</x:v>
      </x:c>
      <x:c r="B93" s="182" t="str">
        <x:f>'Stationen Abfrage dataprocessor'!$D$22</x:f>
        <x:v>OUC-S1 Orthopädie-Unfallchirurgie</x:v>
      </x:c>
      <x:c r="C93" s="182" t="str">
        <x:v>RES</x:v>
      </x:c>
      <x:c r="D93" s="182" t="str">
        <x:f>'Stationen Abfrage dataprocessor'!$P$22</x:f>
        <x:v>ja</x:v>
      </x:c>
      <x:c r="E93" s="189" t="n">
        <x:f>IF(G93="definiert",MAX('Stationen Abfrage dataprocessor'!$E$22,'Stationen Abfrage dataprocessor'!$G$22),"")</x:f>
        <x:v>46143</x:v>
      </x:c>
      <x:c r="F93" s="189" t="n">
        <x:f>IF(G93="definiert",'Stationen Abfrage dataprocessor'!$H$22+1,"")</x:f>
        <x:v>46266</x:v>
      </x:c>
      <x:c r="G93" s="182" t="str">
        <x:f>IF(D93="nein","nicht_anwendbar",IF(D93&lt;&gt;"ja","Konfiguration fehlt",IF(OR(NOT(ISNUMBER('Stationen Abfrage dataprocessor'!$E$22)),NOT(ISNUMBER('Stationen Abfrage dataprocessor'!$G$22)),NOT(ISNUMBER('Stationen Abfrage dataprocessor'!$H$22))),"Konfiguration fehlt",IF(('Stationen Abfrage dataprocessor'!$H$22+1)&lt;=(MAX('Stationen Abfrage dataprocessor'!$E$22,'Stationen Abfrage dataprocessor'!$G$22)),"kein_beobachtetes_fenster","definiert"))))</x:f>
        <x:v>definiert</x:v>
      </x:c>
      <x:c r="H93" s="182" t="str">
        <x:v>ja</x:v>
      </x:c>
      <x:c r="I93" s="182" t="str">
        <x:v>ja</x:v>
      </x:c>
      <x:c r="J93" s="182" t="str">
        <x:f>'Stationen Abfrage dataprocessor'!$S$22</x:f>
        <x:v>fallbezogen prüfen</x:v>
      </x:c>
      <x:c r="K93" s="190" t="n">
        <x:f>IF(G93="definiert",F93-E93,"")</x:f>
        <x:v>123</x:v>
      </x:c>
      <x:c r="L93" s="182" t="n">
        <x:v>22</x:v>
      </x:c>
      <x:c r="M93" s="182" t="str">
        <x:f>IF('Stationen Abfrage dataprocessor'!$K$22="","",'Stationen Abfrage dataprocessor'!$K$22)</x:f>
      </x:c>
      <x:c r="N93" s="182" t="str">
        <x:f>Definitionen!$B$2</x:f>
        <x:v>IP-COHORT-2026-10-28-01</x:v>
      </x:c>
    </x:row>
    <x:row r="94" ht="30" customHeight="1">
      <x:c r="A94" s="182" t="str">
        <x:f>'Stationen Abfrage dataprocessor'!$A$22</x:f>
        <x:v>UK Dresden</x:v>
      </x:c>
      <x:c r="B94" s="182" t="str">
        <x:f>'Stationen Abfrage dataprocessor'!$D$22</x:f>
        <x:v>OUC-S1 Orthopädie-Unfallchirurgie</x:v>
      </x:c>
      <x:c r="C94" s="182" t="str">
        <x:v>TRS</x:v>
      </x:c>
      <x:c r="D94" s="182" t="str">
        <x:f>'Stationen Abfrage dataprocessor'!$Q$22</x:f>
        <x:v>ja</x:v>
      </x:c>
      <x:c r="E94" s="189" t="n">
        <x:f>IF(G94="definiert",'Stationen Abfrage dataprocessor'!$E$22,"")</x:f>
        <x:v>45627</x:v>
      </x:c>
      <x:c r="F94" s="189" t="n">
        <x:f>IF(G94="definiert",'Stationen Abfrage dataprocessor'!$H$22+1,"")</x:f>
        <x:v>46266</x:v>
      </x:c>
      <x:c r="G94" s="182" t="str">
        <x:f>IF(D94="nein","nicht_anwendbar",IF(D94&lt;&gt;"ja","Konfiguration fehlt",IF(OR(NOT(ISNUMBER('Stationen Abfrage dataprocessor'!$E$22)),NOT(ISNUMBER('Stationen Abfrage dataprocessor'!$H$22))),"Konfiguration fehlt",IF(('Stationen Abfrage dataprocessor'!$H$22+1)&lt;=('Stationen Abfrage dataprocessor'!$E$22),"kein_beobachtetes_fenster","definiert"))))</x:f>
        <x:v>definiert</x:v>
      </x:c>
      <x:c r="H94" s="182" t="str">
        <x:v>ja</x:v>
      </x:c>
      <x:c r="I94" s="182" t="str">
        <x:v>nein</x:v>
      </x:c>
      <x:c r="J94" s="182" t="str">
        <x:f>"nicht Voraussetzung"</x:f>
        <x:v>nicht Voraussetzung</x:v>
      </x:c>
      <x:c r="K94" s="190" t="n">
        <x:f>IF(G94="definiert",F94-E94,"")</x:f>
        <x:v>639</x:v>
      </x:c>
      <x:c r="L94" s="182" t="n">
        <x:v>22</x:v>
      </x:c>
      <x:c r="M94" s="182" t="str">
        <x:f>IF('Stationen Abfrage dataprocessor'!$K$22="","",'Stationen Abfrage dataprocessor'!$K$22)</x:f>
      </x:c>
      <x:c r="N94" s="182" t="str">
        <x:f>Definitionen!$B$2</x:f>
        <x:v>IP-COHORT-2026-10-28-01</x:v>
      </x:c>
    </x:row>
    <x:row r="95" ht="30" customHeight="1">
      <x:c r="A95" s="182" t="str">
        <x:f>'Stationen Abfrage dataprocessor'!$A$23</x:f>
        <x:v>UK Dresden</x:v>
      </x:c>
      <x:c r="B95" s="182" t="str">
        <x:f>'Stationen Abfrage dataprocessor'!$D$23</x:f>
        <x:v>NCH-S2 Interdisziplinäre Station NCH</x:v>
      </x:c>
      <x:c r="C95" s="182" t="str">
        <x:v>BS</x:v>
      </x:c>
      <x:c r="D95" s="182" t="str">
        <x:f>'Stationen Abfrage dataprocessor'!$M$23</x:f>
        <x:v>ja</x:v>
      </x:c>
      <x:c r="E95" s="189" t="n">
        <x:f>IF(G95="definiert",'Stationen Abfrage dataprocessor'!$E$23,"")</x:f>
        <x:v>45627</x:v>
      </x:c>
      <x:c r="F95" s="189" t="n">
        <x:f>IF(G95="definiert",IF('Stationen Abfrage dataprocessor'!$T$23="Studienende",'Stationen Abfrage dataprocessor'!$H$23+1,MIN('Stationen Abfrage dataprocessor'!$F$23,'Stationen Abfrage dataprocessor'!$H$23+1)),"")</x:f>
        <x:v>46059</x:v>
      </x:c>
      <x:c r="G95" s="182" t="str">
        <x:f>IF(D95="nein","nicht_anwendbar",IF(D95&lt;&gt;"ja","Konfiguration fehlt",IF(OR(NOT(ISNUMBER('Stationen Abfrage dataprocessor'!$E$23)),NOT(ISNUMBER('Stationen Abfrage dataprocessor'!$H$23)),AND('Stationen Abfrage dataprocessor'!$T$23&lt;&gt;"Phasengrenze",'Stationen Abfrage dataprocessor'!$T$23&lt;&gt;"Studienende"),AND('Stationen Abfrage dataprocessor'!$T$23="Phasengrenze",NOT(ISNUMBER('Stationen Abfrage dataprocessor'!$F$23)))),"Konfiguration fehlt",IF((IF('Stationen Abfrage dataprocessor'!$T$23="Studienende",'Stationen Abfrage dataprocessor'!$H$23+1,MIN('Stationen Abfrage dataprocessor'!$F$23,'Stationen Abfrage dataprocessor'!$H$23+1)))&lt;=('Stationen Abfrage dataprocessor'!$E$23),"kein_beobachtetes_fenster","definiert"))))</x:f>
        <x:v>definiert</x:v>
      </x:c>
      <x:c r="H95" s="182" t="str">
        <x:v>nein</x:v>
      </x:c>
      <x:c r="I95" s="182" t="str">
        <x:v>nein</x:v>
      </x:c>
      <x:c r="J95" s="182" t="str">
        <x:f>"nicht Voraussetzung"</x:f>
        <x:v>nicht Voraussetzung</x:v>
      </x:c>
      <x:c r="K95" s="190" t="n">
        <x:f>IF(G95="definiert",F95-E95,"")</x:f>
        <x:v>432</x:v>
      </x:c>
      <x:c r="L95" s="182" t="n">
        <x:v>23</x:v>
      </x:c>
      <x:c r="M95" s="182" t="str">
        <x:f>IF('Stationen Abfrage dataprocessor'!$K$23="","",'Stationen Abfrage dataprocessor'!$K$23)</x:f>
      </x:c>
      <x:c r="N95" s="182" t="str">
        <x:f>Definitionen!$B$2</x:f>
        <x:v>IP-COHORT-2026-10-28-01</x:v>
      </x:c>
    </x:row>
    <x:row r="96" ht="30" customHeight="1">
      <x:c r="A96" s="182" t="str">
        <x:f>'Stationen Abfrage dataprocessor'!$A$23</x:f>
        <x:v>UK Dresden</x:v>
      </x:c>
      <x:c r="B96" s="182" t="str">
        <x:f>'Stationen Abfrage dataprocessor'!$D$23</x:f>
        <x:v>NCH-S2 Interdisziplinäre Station NCH</x:v>
      </x:c>
      <x:c r="C96" s="182" t="str">
        <x:v>CRS-A</x:v>
      </x:c>
      <x:c r="D96" s="182" t="str">
        <x:f>'Stationen Abfrage dataprocessor'!$N$23</x:f>
        <x:v>ja</x:v>
      </x:c>
      <x:c r="E96" s="189" t="n">
        <x:f>IF(G96="definiert",MAX('Stationen Abfrage dataprocessor'!$E$23,'Stationen Abfrage dataprocessor'!$F$23),"")</x:f>
        <x:v>46059</x:v>
      </x:c>
      <x:c r="F96" s="189" t="n">
        <x:f>IF(G96="definiert",MIN('Stationen Abfrage dataprocessor'!$G$23,'Stationen Abfrage dataprocessor'!$H$23+1),"")</x:f>
        <x:v>46171</x:v>
      </x:c>
      <x:c r="G96" s="182" t="str">
        <x:f>IF(D96="nein","nicht_anwendbar",IF(D96&lt;&gt;"ja","Konfiguration fehlt",IF(OR(NOT(ISNUMBER('Stationen Abfrage dataprocessor'!$E$23)),NOT(ISNUMBER('Stationen Abfrage dataprocessor'!$F$23)),NOT(ISNUMBER('Stationen Abfrage dataprocessor'!$G$23)),NOT(ISNUMBER('Stationen Abfrage dataprocessor'!$H$23))),"Konfiguration fehlt",IF((MIN('Stationen Abfrage dataprocessor'!$G$23,'Stationen Abfrage dataprocessor'!$H$23+1))&lt;=(MAX('Stationen Abfrage dataprocessor'!$E$23,'Stationen Abfrage dataprocessor'!$F$23)),"kein_beobachtetes_fenster","definiert"))))</x:f>
        <x:v>definiert</x:v>
      </x:c>
      <x:c r="H96" s="182" t="str">
        <x:v>nein</x:v>
      </x:c>
      <x:c r="I96" s="182" t="str">
        <x:v>nein</x:v>
      </x:c>
      <x:c r="J96" s="182" t="str">
        <x:f>"nicht Voraussetzung"</x:f>
        <x:v>nicht Voraussetzung</x:v>
      </x:c>
      <x:c r="K96" s="190" t="n">
        <x:f>IF(G96="definiert",F96-E96,"")</x:f>
        <x:v>112</x:v>
      </x:c>
      <x:c r="L96" s="182" t="n">
        <x:v>23</x:v>
      </x:c>
      <x:c r="M96" s="182" t="str">
        <x:f>IF('Stationen Abfrage dataprocessor'!$K$23="","",'Stationen Abfrage dataprocessor'!$K$23)</x:f>
      </x:c>
      <x:c r="N96" s="182" t="str">
        <x:f>Definitionen!$B$2</x:f>
        <x:v>IP-COHORT-2026-10-28-01</x:v>
      </x:c>
    </x:row>
    <x:row r="97" ht="30" customHeight="1">
      <x:c r="A97" s="182" t="str">
        <x:f>'Stationen Abfrage dataprocessor'!$A$23</x:f>
        <x:v>UK Dresden</x:v>
      </x:c>
      <x:c r="B97" s="182" t="str">
        <x:f>'Stationen Abfrage dataprocessor'!$D$23</x:f>
        <x:v>NCH-S2 Interdisziplinäre Station NCH</x:v>
      </x:c>
      <x:c r="C97" s="182" t="str">
        <x:v>CRS-B</x:v>
      </x:c>
      <x:c r="D97" s="182" t="str">
        <x:f>'Stationen Abfrage dataprocessor'!$O$23</x:f>
        <x:v>ja</x:v>
      </x:c>
      <x:c r="E97" s="189" t="n">
        <x:f>IF(G97="definiert",MAX('Stationen Abfrage dataprocessor'!$E$23,'Stationen Abfrage dataprocessor'!$G$23),"")</x:f>
        <x:v>46171</x:v>
      </x:c>
      <x:c r="F97" s="189" t="n">
        <x:f>IF(G97="definiert",'Stationen Abfrage dataprocessor'!$H$23+1,"")</x:f>
        <x:v>46266</x:v>
      </x:c>
      <x:c r="G97" s="182" t="str">
        <x:f>IF(D97="nein","nicht_anwendbar",IF(D97&lt;&gt;"ja","Konfiguration fehlt",IF(OR(NOT(ISNUMBER('Stationen Abfrage dataprocessor'!$E$23)),NOT(ISNUMBER('Stationen Abfrage dataprocessor'!$G$23)),NOT(ISNUMBER('Stationen Abfrage dataprocessor'!$H$23))),"Konfiguration fehlt",IF(('Stationen Abfrage dataprocessor'!$H$23+1)&lt;=(MAX('Stationen Abfrage dataprocessor'!$E$23,'Stationen Abfrage dataprocessor'!$G$23)),"kein_beobachtetes_fenster","definiert"))))</x:f>
        <x:v>definiert</x:v>
      </x:c>
      <x:c r="H97" s="182" t="str">
        <x:v>nein</x:v>
      </x:c>
      <x:c r="I97" s="182" t="str">
        <x:v>nein</x:v>
      </x:c>
      <x:c r="J97" s="182" t="str">
        <x:f>'Stationen Abfrage dataprocessor'!$S$23</x:f>
        <x:v>fallbezogen prüfen</x:v>
      </x:c>
      <x:c r="K97" s="190" t="n">
        <x:f>IF(G97="definiert",F97-E97,"")</x:f>
        <x:v>95</x:v>
      </x:c>
      <x:c r="L97" s="182" t="n">
        <x:v>23</x:v>
      </x:c>
      <x:c r="M97" s="182" t="str">
        <x:f>IF('Stationen Abfrage dataprocessor'!$K$23="","",'Stationen Abfrage dataprocessor'!$K$23)</x:f>
      </x:c>
      <x:c r="N97" s="182" t="str">
        <x:f>Definitionen!$B$2</x:f>
        <x:v>IP-COHORT-2026-10-28-01</x:v>
      </x:c>
    </x:row>
    <x:row r="98" ht="30" customHeight="1">
      <x:c r="A98" s="182" t="str">
        <x:f>'Stationen Abfrage dataprocessor'!$A$23</x:f>
        <x:v>UK Dresden</x:v>
      </x:c>
      <x:c r="B98" s="182" t="str">
        <x:f>'Stationen Abfrage dataprocessor'!$D$23</x:f>
        <x:v>NCH-S2 Interdisziplinäre Station NCH</x:v>
      </x:c>
      <x:c r="C98" s="182" t="str">
        <x:v>RES</x:v>
      </x:c>
      <x:c r="D98" s="182" t="str">
        <x:f>'Stationen Abfrage dataprocessor'!$P$23</x:f>
        <x:v>ja</x:v>
      </x:c>
      <x:c r="E98" s="189" t="n">
        <x:f>IF(G98="definiert",MAX('Stationen Abfrage dataprocessor'!$E$23,'Stationen Abfrage dataprocessor'!$G$23),"")</x:f>
        <x:v>46171</x:v>
      </x:c>
      <x:c r="F98" s="189" t="n">
        <x:f>IF(G98="definiert",'Stationen Abfrage dataprocessor'!$H$23+1,"")</x:f>
        <x:v>46266</x:v>
      </x:c>
      <x:c r="G98" s="182" t="str">
        <x:f>IF(D98="nein","nicht_anwendbar",IF(D98&lt;&gt;"ja","Konfiguration fehlt",IF(OR(NOT(ISNUMBER('Stationen Abfrage dataprocessor'!$E$23)),NOT(ISNUMBER('Stationen Abfrage dataprocessor'!$G$23)),NOT(ISNUMBER('Stationen Abfrage dataprocessor'!$H$23))),"Konfiguration fehlt",IF(('Stationen Abfrage dataprocessor'!$H$23+1)&lt;=(MAX('Stationen Abfrage dataprocessor'!$E$23,'Stationen Abfrage dataprocessor'!$G$23)),"kein_beobachtetes_fenster","definiert"))))</x:f>
        <x:v>definiert</x:v>
      </x:c>
      <x:c r="H98" s="182" t="str">
        <x:v>ja</x:v>
      </x:c>
      <x:c r="I98" s="182" t="str">
        <x:v>ja</x:v>
      </x:c>
      <x:c r="J98" s="182" t="str">
        <x:f>'Stationen Abfrage dataprocessor'!$S$23</x:f>
        <x:v>fallbezogen prüfen</x:v>
      </x:c>
      <x:c r="K98" s="190" t="n">
        <x:f>IF(G98="definiert",F98-E98,"")</x:f>
        <x:v>95</x:v>
      </x:c>
      <x:c r="L98" s="182" t="n">
        <x:v>23</x:v>
      </x:c>
      <x:c r="M98" s="182" t="str">
        <x:f>IF('Stationen Abfrage dataprocessor'!$K$23="","",'Stationen Abfrage dataprocessor'!$K$23)</x:f>
      </x:c>
      <x:c r="N98" s="182" t="str">
        <x:f>Definitionen!$B$2</x:f>
        <x:v>IP-COHORT-2026-10-28-01</x:v>
      </x:c>
    </x:row>
    <x:row r="99" ht="30" customHeight="1">
      <x:c r="A99" s="182" t="str">
        <x:f>'Stationen Abfrage dataprocessor'!$A$23</x:f>
        <x:v>UK Dresden</x:v>
      </x:c>
      <x:c r="B99" s="182" t="str">
        <x:f>'Stationen Abfrage dataprocessor'!$D$23</x:f>
        <x:v>NCH-S2 Interdisziplinäre Station NCH</x:v>
      </x:c>
      <x:c r="C99" s="182" t="str">
        <x:v>TRS</x:v>
      </x:c>
      <x:c r="D99" s="182" t="str">
        <x:f>'Stationen Abfrage dataprocessor'!$Q$23</x:f>
        <x:v>ja</x:v>
      </x:c>
      <x:c r="E99" s="189" t="n">
        <x:f>IF(G99="definiert",'Stationen Abfrage dataprocessor'!$E$23,"")</x:f>
        <x:v>45627</x:v>
      </x:c>
      <x:c r="F99" s="189" t="n">
        <x:f>IF(G99="definiert",'Stationen Abfrage dataprocessor'!$H$23+1,"")</x:f>
        <x:v>46266</x:v>
      </x:c>
      <x:c r="G99" s="182" t="str">
        <x:f>IF(D99="nein","nicht_anwendbar",IF(D99&lt;&gt;"ja","Konfiguration fehlt",IF(OR(NOT(ISNUMBER('Stationen Abfrage dataprocessor'!$E$23)),NOT(ISNUMBER('Stationen Abfrage dataprocessor'!$H$23))),"Konfiguration fehlt",IF(('Stationen Abfrage dataprocessor'!$H$23+1)&lt;=('Stationen Abfrage dataprocessor'!$E$23),"kein_beobachtetes_fenster","definiert"))))</x:f>
        <x:v>definiert</x:v>
      </x:c>
      <x:c r="H99" s="182" t="str">
        <x:v>ja</x:v>
      </x:c>
      <x:c r="I99" s="182" t="str">
        <x:v>nein</x:v>
      </x:c>
      <x:c r="J99" s="182" t="str">
        <x:f>"nicht Voraussetzung"</x:f>
        <x:v>nicht Voraussetzung</x:v>
      </x:c>
      <x:c r="K99" s="190" t="n">
        <x:f>IF(G99="definiert",F99-E99,"")</x:f>
        <x:v>639</x:v>
      </x:c>
      <x:c r="L99" s="182" t="n">
        <x:v>23</x:v>
      </x:c>
      <x:c r="M99" s="182" t="str">
        <x:f>IF('Stationen Abfrage dataprocessor'!$K$23="","",'Stationen Abfrage dataprocessor'!$K$23)</x:f>
      </x:c>
      <x:c r="N99" s="182" t="str">
        <x:f>Definitionen!$B$2</x:f>
        <x:v>IP-COHORT-2026-10-28-01</x:v>
      </x:c>
    </x:row>
    <x:row r="100" ht="30" customHeight="1">
      <x:c r="A100" s="182" t="str">
        <x:f>'Stationen Abfrage dataprocessor'!$A$24</x:f>
        <x:v>UK Erlangen</x:v>
      </x:c>
      <x:c r="B100" s="182" t="str">
        <x:f>'Stationen Abfrage dataprocessor'!$D$24</x:f>
        <x:v>Nephrologie</x:v>
      </x:c>
      <x:c r="C100" s="182" t="str">
        <x:v>BS</x:v>
      </x:c>
      <x:c r="D100" s="182" t="str">
        <x:f>'Stationen Abfrage dataprocessor'!$M$24</x:f>
        <x:v>ja</x:v>
      </x:c>
      <x:c r="E100" s="189" t="n">
        <x:f>IF(G100="definiert",'Stationen Abfrage dataprocessor'!$E$24,"")</x:f>
        <x:v>45715</x:v>
      </x:c>
      <x:c r="F100" s="189" t="n">
        <x:f>IF(G100="definiert",IF('Stationen Abfrage dataprocessor'!$T$24="Studienende",'Stationen Abfrage dataprocessor'!$H$24+1,MIN('Stationen Abfrage dataprocessor'!$F$24,'Stationen Abfrage dataprocessor'!$H$24+1)),"")</x:f>
        <x:v>46017</x:v>
      </x:c>
      <x:c r="G100" s="182" t="str">
        <x:f>IF(D100="nein","nicht_anwendbar",IF(D100&lt;&gt;"ja","Konfiguration fehlt",IF(OR(NOT(ISNUMBER('Stationen Abfrage dataprocessor'!$E$24)),NOT(ISNUMBER('Stationen Abfrage dataprocessor'!$H$24)),AND('Stationen Abfrage dataprocessor'!$T$24&lt;&gt;"Phasengrenze",'Stationen Abfrage dataprocessor'!$T$24&lt;&gt;"Studienende"),AND('Stationen Abfrage dataprocessor'!$T$24="Phasengrenze",NOT(ISNUMBER('Stationen Abfrage dataprocessor'!$F$24)))),"Konfiguration fehlt",IF((IF('Stationen Abfrage dataprocessor'!$T$24="Studienende",'Stationen Abfrage dataprocessor'!$H$24+1,MIN('Stationen Abfrage dataprocessor'!$F$24,'Stationen Abfrage dataprocessor'!$H$24+1)))&lt;=('Stationen Abfrage dataprocessor'!$E$24),"kein_beobachtetes_fenster","definiert"))))</x:f>
        <x:v>definiert</x:v>
      </x:c>
      <x:c r="H100" s="182" t="str">
        <x:v>nein</x:v>
      </x:c>
      <x:c r="I100" s="182" t="str">
        <x:v>nein</x:v>
      </x:c>
      <x:c r="J100" s="182" t="str">
        <x:f>"nicht Voraussetzung"</x:f>
        <x:v>nicht Voraussetzung</x:v>
      </x:c>
      <x:c r="K100" s="190" t="n">
        <x:f>IF(G100="definiert",F100-E100,"")</x:f>
        <x:v>302</x:v>
      </x:c>
      <x:c r="L100" s="182" t="n">
        <x:v>24</x:v>
      </x:c>
      <x:c r="M100" s="182" t="str">
        <x:f>IF('Stationen Abfrage dataprocessor'!$K$24="","",'Stationen Abfrage dataprocessor'!$K$24)</x:f>
      </x:c>
      <x:c r="N100" s="182" t="str">
        <x:f>Definitionen!$B$2</x:f>
        <x:v>IP-COHORT-2026-10-28-01</x:v>
      </x:c>
    </x:row>
    <x:row r="101" ht="30" customHeight="1">
      <x:c r="A101" s="182" t="str">
        <x:f>'Stationen Abfrage dataprocessor'!$A$24</x:f>
        <x:v>UK Erlangen</x:v>
      </x:c>
      <x:c r="B101" s="182" t="str">
        <x:f>'Stationen Abfrage dataprocessor'!$D$24</x:f>
        <x:v>Nephrologie</x:v>
      </x:c>
      <x:c r="C101" s="182" t="str">
        <x:v>CRS-A</x:v>
      </x:c>
      <x:c r="D101" s="182" t="str">
        <x:f>'Stationen Abfrage dataprocessor'!$N$24</x:f>
        <x:v>ja</x:v>
      </x:c>
      <x:c r="E101" s="189" t="n">
        <x:f>IF(G101="definiert",MAX('Stationen Abfrage dataprocessor'!$E$24,'Stationen Abfrage dataprocessor'!$F$24),"")</x:f>
        <x:v>46017</x:v>
      </x:c>
      <x:c r="F101" s="189" t="n">
        <x:f>IF(G101="definiert",MIN('Stationen Abfrage dataprocessor'!$G$24,'Stationen Abfrage dataprocessor'!$H$24+1),"")</x:f>
        <x:v>46045</x:v>
      </x:c>
      <x:c r="G101" s="182" t="str">
        <x:f>IF(D101="nein","nicht_anwendbar",IF(D101&lt;&gt;"ja","Konfiguration fehlt",IF(OR(NOT(ISNUMBER('Stationen Abfrage dataprocessor'!$E$24)),NOT(ISNUMBER('Stationen Abfrage dataprocessor'!$F$24)),NOT(ISNUMBER('Stationen Abfrage dataprocessor'!$G$24)),NOT(ISNUMBER('Stationen Abfrage dataprocessor'!$H$24))),"Konfiguration fehlt",IF((MIN('Stationen Abfrage dataprocessor'!$G$24,'Stationen Abfrage dataprocessor'!$H$24+1))&lt;=(MAX('Stationen Abfrage dataprocessor'!$E$24,'Stationen Abfrage dataprocessor'!$F$24)),"kein_beobachtetes_fenster","definiert"))))</x:f>
        <x:v>definiert</x:v>
      </x:c>
      <x:c r="H101" s="182" t="str">
        <x:v>nein</x:v>
      </x:c>
      <x:c r="I101" s="182" t="str">
        <x:v>nein</x:v>
      </x:c>
      <x:c r="J101" s="182" t="str">
        <x:f>"nicht Voraussetzung"</x:f>
        <x:v>nicht Voraussetzung</x:v>
      </x:c>
      <x:c r="K101" s="190" t="n">
        <x:f>IF(G101="definiert",F101-E101,"")</x:f>
        <x:v>28</x:v>
      </x:c>
      <x:c r="L101" s="182" t="n">
        <x:v>24</x:v>
      </x:c>
      <x:c r="M101" s="182" t="str">
        <x:f>IF('Stationen Abfrage dataprocessor'!$K$24="","",'Stationen Abfrage dataprocessor'!$K$24)</x:f>
      </x:c>
      <x:c r="N101" s="182" t="str">
        <x:f>Definitionen!$B$2</x:f>
        <x:v>IP-COHORT-2026-10-28-01</x:v>
      </x:c>
    </x:row>
    <x:row r="102" ht="30" customHeight="1">
      <x:c r="A102" s="182" t="str">
        <x:f>'Stationen Abfrage dataprocessor'!$A$24</x:f>
        <x:v>UK Erlangen</x:v>
      </x:c>
      <x:c r="B102" s="182" t="str">
        <x:f>'Stationen Abfrage dataprocessor'!$D$24</x:f>
        <x:v>Nephrologie</x:v>
      </x:c>
      <x:c r="C102" s="182" t="str">
        <x:v>CRS-B</x:v>
      </x:c>
      <x:c r="D102" s="182" t="str">
        <x:f>'Stationen Abfrage dataprocessor'!$O$24</x:f>
        <x:v>ja</x:v>
      </x:c>
      <x:c r="E102" s="189" t="n">
        <x:f>IF(G102="definiert",MAX('Stationen Abfrage dataprocessor'!$E$24,'Stationen Abfrage dataprocessor'!$G$24),"")</x:f>
        <x:v>46045</x:v>
      </x:c>
      <x:c r="F102" s="189" t="n">
        <x:f>IF(G102="definiert",'Stationen Abfrage dataprocessor'!$H$24+1,"")</x:f>
        <x:v>46210</x:v>
      </x:c>
      <x:c r="G102" s="182" t="str">
        <x:f>IF(D102="nein","nicht_anwendbar",IF(D102&lt;&gt;"ja","Konfiguration fehlt",IF(OR(NOT(ISNUMBER('Stationen Abfrage dataprocessor'!$E$24)),NOT(ISNUMBER('Stationen Abfrage dataprocessor'!$G$24)),NOT(ISNUMBER('Stationen Abfrage dataprocessor'!$H$24))),"Konfiguration fehlt",IF(('Stationen Abfrage dataprocessor'!$H$24+1)&lt;=(MAX('Stationen Abfrage dataprocessor'!$E$24,'Stationen Abfrage dataprocessor'!$G$24)),"kein_beobachtetes_fenster","definiert"))))</x:f>
        <x:v>definiert</x:v>
      </x:c>
      <x:c r="H102" s="182" t="str">
        <x:v>nein</x:v>
      </x:c>
      <x:c r="I102" s="182" t="str">
        <x:v>nein</x:v>
      </x:c>
      <x:c r="J102" s="182" t="str">
        <x:f>'Stationen Abfrage dataprocessor'!$S$24</x:f>
        <x:v>fallbezogen prüfen</x:v>
      </x:c>
      <x:c r="K102" s="190" t="n">
        <x:f>IF(G102="definiert",F102-E102,"")</x:f>
        <x:v>165</x:v>
      </x:c>
      <x:c r="L102" s="182" t="n">
        <x:v>24</x:v>
      </x:c>
      <x:c r="M102" s="182" t="str">
        <x:f>IF('Stationen Abfrage dataprocessor'!$K$24="","",'Stationen Abfrage dataprocessor'!$K$24)</x:f>
      </x:c>
      <x:c r="N102" s="182" t="str">
        <x:f>Definitionen!$B$2</x:f>
        <x:v>IP-COHORT-2026-10-28-01</x:v>
      </x:c>
    </x:row>
    <x:row r="103" ht="30" customHeight="1">
      <x:c r="A103" s="182" t="str">
        <x:f>'Stationen Abfrage dataprocessor'!$A$24</x:f>
        <x:v>UK Erlangen</x:v>
      </x:c>
      <x:c r="B103" s="182" t="str">
        <x:f>'Stationen Abfrage dataprocessor'!$D$24</x:f>
        <x:v>Nephrologie</x:v>
      </x:c>
      <x:c r="C103" s="182" t="str">
        <x:v>RES</x:v>
      </x:c>
      <x:c r="D103" s="182" t="str">
        <x:f>'Stationen Abfrage dataprocessor'!$P$24</x:f>
        <x:v>ja</x:v>
      </x:c>
      <x:c r="E103" s="189" t="n">
        <x:f>IF(G103="definiert",MAX('Stationen Abfrage dataprocessor'!$E$24,'Stationen Abfrage dataprocessor'!$G$24),"")</x:f>
        <x:v>46045</x:v>
      </x:c>
      <x:c r="F103" s="189" t="n">
        <x:f>IF(G103="definiert",'Stationen Abfrage dataprocessor'!$H$24+1,"")</x:f>
        <x:v>46210</x:v>
      </x:c>
      <x:c r="G103" s="182" t="str">
        <x:f>IF(D103="nein","nicht_anwendbar",IF(D103&lt;&gt;"ja","Konfiguration fehlt",IF(OR(NOT(ISNUMBER('Stationen Abfrage dataprocessor'!$E$24)),NOT(ISNUMBER('Stationen Abfrage dataprocessor'!$G$24)),NOT(ISNUMBER('Stationen Abfrage dataprocessor'!$H$24))),"Konfiguration fehlt",IF(('Stationen Abfrage dataprocessor'!$H$24+1)&lt;=(MAX('Stationen Abfrage dataprocessor'!$E$24,'Stationen Abfrage dataprocessor'!$G$24)),"kein_beobachtetes_fenster","definiert"))))</x:f>
        <x:v>definiert</x:v>
      </x:c>
      <x:c r="H103" s="182" t="str">
        <x:v>ja</x:v>
      </x:c>
      <x:c r="I103" s="182" t="str">
        <x:v>ja</x:v>
      </x:c>
      <x:c r="J103" s="182" t="str">
        <x:f>'Stationen Abfrage dataprocessor'!$S$24</x:f>
        <x:v>fallbezogen prüfen</x:v>
      </x:c>
      <x:c r="K103" s="190" t="n">
        <x:f>IF(G103="definiert",F103-E103,"")</x:f>
        <x:v>165</x:v>
      </x:c>
      <x:c r="L103" s="182" t="n">
        <x:v>24</x:v>
      </x:c>
      <x:c r="M103" s="182" t="str">
        <x:f>IF('Stationen Abfrage dataprocessor'!$K$24="","",'Stationen Abfrage dataprocessor'!$K$24)</x:f>
      </x:c>
      <x:c r="N103" s="182" t="str">
        <x:f>Definitionen!$B$2</x:f>
        <x:v>IP-COHORT-2026-10-28-01</x:v>
      </x:c>
    </x:row>
    <x:row r="104" ht="30" customHeight="1">
      <x:c r="A104" s="182" t="str">
        <x:f>'Stationen Abfrage dataprocessor'!$A$24</x:f>
        <x:v>UK Erlangen</x:v>
      </x:c>
      <x:c r="B104" s="182" t="str">
        <x:f>'Stationen Abfrage dataprocessor'!$D$24</x:f>
        <x:v>Nephrologie</x:v>
      </x:c>
      <x:c r="C104" s="182" t="str">
        <x:v>TRS</x:v>
      </x:c>
      <x:c r="D104" s="182" t="str">
        <x:f>'Stationen Abfrage dataprocessor'!$Q$24</x:f>
        <x:v>ja</x:v>
      </x:c>
      <x:c r="E104" s="189" t="n">
        <x:f>IF(G104="definiert",'Stationen Abfrage dataprocessor'!$E$24,"")</x:f>
        <x:v>45715</x:v>
      </x:c>
      <x:c r="F104" s="189" t="n">
        <x:f>IF(G104="definiert",'Stationen Abfrage dataprocessor'!$H$24+1,"")</x:f>
        <x:v>46210</x:v>
      </x:c>
      <x:c r="G104" s="182" t="str">
        <x:f>IF(D104="nein","nicht_anwendbar",IF(D104&lt;&gt;"ja","Konfiguration fehlt",IF(OR(NOT(ISNUMBER('Stationen Abfrage dataprocessor'!$E$24)),NOT(ISNUMBER('Stationen Abfrage dataprocessor'!$H$24))),"Konfiguration fehlt",IF(('Stationen Abfrage dataprocessor'!$H$24+1)&lt;=('Stationen Abfrage dataprocessor'!$E$24),"kein_beobachtetes_fenster","definiert"))))</x:f>
        <x:v>definiert</x:v>
      </x:c>
      <x:c r="H104" s="182" t="str">
        <x:v>ja</x:v>
      </x:c>
      <x:c r="I104" s="182" t="str">
        <x:v>nein</x:v>
      </x:c>
      <x:c r="J104" s="182" t="str">
        <x:f>"nicht Voraussetzung"</x:f>
        <x:v>nicht Voraussetzung</x:v>
      </x:c>
      <x:c r="K104" s="190" t="n">
        <x:f>IF(G104="definiert",F104-E104,"")</x:f>
        <x:v>495</x:v>
      </x:c>
      <x:c r="L104" s="182" t="n">
        <x:v>24</x:v>
      </x:c>
      <x:c r="M104" s="182" t="str">
        <x:f>IF('Stationen Abfrage dataprocessor'!$K$24="","",'Stationen Abfrage dataprocessor'!$K$24)</x:f>
      </x:c>
      <x:c r="N104" s="182" t="str">
        <x:f>Definitionen!$B$2</x:f>
        <x:v>IP-COHORT-2026-10-28-01</x:v>
      </x:c>
    </x:row>
    <x:row r="105" ht="30" customHeight="1">
      <x:c r="A105" s="182" t="str">
        <x:f>'Stationen Abfrage dataprocessor'!$A$25</x:f>
        <x:v>UK Erlangen</x:v>
      </x:c>
      <x:c r="B105" s="182" t="str">
        <x:f>'Stationen Abfrage dataprocessor'!$D$25</x:f>
        <x:v>Unfallchirurgie</x:v>
      </x:c>
      <x:c r="C105" s="182" t="str">
        <x:v>BS</x:v>
      </x:c>
      <x:c r="D105" s="182" t="str">
        <x:f>'Stationen Abfrage dataprocessor'!$M$25</x:f>
        <x:v>ja</x:v>
      </x:c>
      <x:c r="E105" s="189" t="n">
        <x:f>IF(G105="definiert",'Stationen Abfrage dataprocessor'!$E$25,"")</x:f>
        <x:v>45810</x:v>
      </x:c>
      <x:c r="F105" s="189" t="n">
        <x:f>IF(G105="definiert",IF('Stationen Abfrage dataprocessor'!$T$25="Studienende",'Stationen Abfrage dataprocessor'!$H$25+1,MIN('Stationen Abfrage dataprocessor'!$F$25,'Stationen Abfrage dataprocessor'!$H$25+1)),"")</x:f>
        <x:v>46017</x:v>
      </x:c>
      <x:c r="G105" s="182" t="str">
        <x:f>IF(D105="nein","nicht_anwendbar",IF(D105&lt;&gt;"ja","Konfiguration fehlt",IF(OR(NOT(ISNUMBER('Stationen Abfrage dataprocessor'!$E$25)),NOT(ISNUMBER('Stationen Abfrage dataprocessor'!$H$25)),AND('Stationen Abfrage dataprocessor'!$T$25&lt;&gt;"Phasengrenze",'Stationen Abfrage dataprocessor'!$T$25&lt;&gt;"Studienende"),AND('Stationen Abfrage dataprocessor'!$T$25="Phasengrenze",NOT(ISNUMBER('Stationen Abfrage dataprocessor'!$F$25)))),"Konfiguration fehlt",IF((IF('Stationen Abfrage dataprocessor'!$T$25="Studienende",'Stationen Abfrage dataprocessor'!$H$25+1,MIN('Stationen Abfrage dataprocessor'!$F$25,'Stationen Abfrage dataprocessor'!$H$25+1)))&lt;=('Stationen Abfrage dataprocessor'!$E$25),"kein_beobachtetes_fenster","definiert"))))</x:f>
        <x:v>definiert</x:v>
      </x:c>
      <x:c r="H105" s="182" t="str">
        <x:v>nein</x:v>
      </x:c>
      <x:c r="I105" s="182" t="str">
        <x:v>nein</x:v>
      </x:c>
      <x:c r="J105" s="182" t="str">
        <x:f>"nicht Voraussetzung"</x:f>
        <x:v>nicht Voraussetzung</x:v>
      </x:c>
      <x:c r="K105" s="190" t="n">
        <x:f>IF(G105="definiert",F105-E105,"")</x:f>
        <x:v>207</x:v>
      </x:c>
      <x:c r="L105" s="182" t="n">
        <x:v>25</x:v>
      </x:c>
      <x:c r="M105" s="182" t="str">
        <x:f>IF('Stationen Abfrage dataprocessor'!$K$25="","",'Stationen Abfrage dataprocessor'!$K$25)</x:f>
      </x:c>
      <x:c r="N105" s="182" t="str">
        <x:f>Definitionen!$B$2</x:f>
        <x:v>IP-COHORT-2026-10-28-01</x:v>
      </x:c>
    </x:row>
    <x:row r="106" ht="30" customHeight="1">
      <x:c r="A106" s="182" t="str">
        <x:f>'Stationen Abfrage dataprocessor'!$A$25</x:f>
        <x:v>UK Erlangen</x:v>
      </x:c>
      <x:c r="B106" s="182" t="str">
        <x:f>'Stationen Abfrage dataprocessor'!$D$25</x:f>
        <x:v>Unfallchirurgie</x:v>
      </x:c>
      <x:c r="C106" s="182" t="str">
        <x:v>CRS-A</x:v>
      </x:c>
      <x:c r="D106" s="182" t="str">
        <x:f>'Stationen Abfrage dataprocessor'!$N$25</x:f>
        <x:v>ja</x:v>
      </x:c>
      <x:c r="E106" s="189" t="n">
        <x:f>IF(G106="definiert",MAX('Stationen Abfrage dataprocessor'!$E$25,'Stationen Abfrage dataprocessor'!$F$25),"")</x:f>
        <x:v>46017</x:v>
      </x:c>
      <x:c r="F106" s="189" t="n">
        <x:f>IF(G106="definiert",MIN('Stationen Abfrage dataprocessor'!$G$25,'Stationen Abfrage dataprocessor'!$H$25+1),"")</x:f>
        <x:v>46045</x:v>
      </x:c>
      <x:c r="G106" s="182" t="str">
        <x:f>IF(D106="nein","nicht_anwendbar",IF(D106&lt;&gt;"ja","Konfiguration fehlt",IF(OR(NOT(ISNUMBER('Stationen Abfrage dataprocessor'!$E$25)),NOT(ISNUMBER('Stationen Abfrage dataprocessor'!$F$25)),NOT(ISNUMBER('Stationen Abfrage dataprocessor'!$G$25)),NOT(ISNUMBER('Stationen Abfrage dataprocessor'!$H$25))),"Konfiguration fehlt",IF((MIN('Stationen Abfrage dataprocessor'!$G$25,'Stationen Abfrage dataprocessor'!$H$25+1))&lt;=(MAX('Stationen Abfrage dataprocessor'!$E$25,'Stationen Abfrage dataprocessor'!$F$25)),"kein_beobachtetes_fenster","definiert"))))</x:f>
        <x:v>definiert</x:v>
      </x:c>
      <x:c r="H106" s="182" t="str">
        <x:v>nein</x:v>
      </x:c>
      <x:c r="I106" s="182" t="str">
        <x:v>nein</x:v>
      </x:c>
      <x:c r="J106" s="182" t="str">
        <x:f>"nicht Voraussetzung"</x:f>
        <x:v>nicht Voraussetzung</x:v>
      </x:c>
      <x:c r="K106" s="190" t="n">
        <x:f>IF(G106="definiert",F106-E106,"")</x:f>
        <x:v>28</x:v>
      </x:c>
      <x:c r="L106" s="182" t="n">
        <x:v>25</x:v>
      </x:c>
      <x:c r="M106" s="182" t="str">
        <x:f>IF('Stationen Abfrage dataprocessor'!$K$25="","",'Stationen Abfrage dataprocessor'!$K$25)</x:f>
      </x:c>
      <x:c r="N106" s="182" t="str">
        <x:f>Definitionen!$B$2</x:f>
        <x:v>IP-COHORT-2026-10-28-01</x:v>
      </x:c>
    </x:row>
    <x:row r="107" ht="30" customHeight="1">
      <x:c r="A107" s="182" t="str">
        <x:f>'Stationen Abfrage dataprocessor'!$A$25</x:f>
        <x:v>UK Erlangen</x:v>
      </x:c>
      <x:c r="B107" s="182" t="str">
        <x:f>'Stationen Abfrage dataprocessor'!$D$25</x:f>
        <x:v>Unfallchirurgie</x:v>
      </x:c>
      <x:c r="C107" s="182" t="str">
        <x:v>CRS-B</x:v>
      </x:c>
      <x:c r="D107" s="182" t="str">
        <x:f>'Stationen Abfrage dataprocessor'!$O$25</x:f>
        <x:v>ja</x:v>
      </x:c>
      <x:c r="E107" s="189" t="n">
        <x:f>IF(G107="definiert",MAX('Stationen Abfrage dataprocessor'!$E$25,'Stationen Abfrage dataprocessor'!$G$25),"")</x:f>
        <x:v>46045</x:v>
      </x:c>
      <x:c r="F107" s="189" t="n">
        <x:f>IF(G107="definiert",'Stationen Abfrage dataprocessor'!$H$25+1,"")</x:f>
        <x:v>46210</x:v>
      </x:c>
      <x:c r="G107" s="182" t="str">
        <x:f>IF(D107="nein","nicht_anwendbar",IF(D107&lt;&gt;"ja","Konfiguration fehlt",IF(OR(NOT(ISNUMBER('Stationen Abfrage dataprocessor'!$E$25)),NOT(ISNUMBER('Stationen Abfrage dataprocessor'!$G$25)),NOT(ISNUMBER('Stationen Abfrage dataprocessor'!$H$25))),"Konfiguration fehlt",IF(('Stationen Abfrage dataprocessor'!$H$25+1)&lt;=(MAX('Stationen Abfrage dataprocessor'!$E$25,'Stationen Abfrage dataprocessor'!$G$25)),"kein_beobachtetes_fenster","definiert"))))</x:f>
        <x:v>definiert</x:v>
      </x:c>
      <x:c r="H107" s="182" t="str">
        <x:v>nein</x:v>
      </x:c>
      <x:c r="I107" s="182" t="str">
        <x:v>nein</x:v>
      </x:c>
      <x:c r="J107" s="182" t="str">
        <x:f>'Stationen Abfrage dataprocessor'!$S$25</x:f>
        <x:v>fallbezogen prüfen</x:v>
      </x:c>
      <x:c r="K107" s="190" t="n">
        <x:f>IF(G107="definiert",F107-E107,"")</x:f>
        <x:v>165</x:v>
      </x:c>
      <x:c r="L107" s="182" t="n">
        <x:v>25</x:v>
      </x:c>
      <x:c r="M107" s="182" t="str">
        <x:f>IF('Stationen Abfrage dataprocessor'!$K$25="","",'Stationen Abfrage dataprocessor'!$K$25)</x:f>
      </x:c>
      <x:c r="N107" s="182" t="str">
        <x:f>Definitionen!$B$2</x:f>
        <x:v>IP-COHORT-2026-10-28-01</x:v>
      </x:c>
    </x:row>
    <x:row r="108" ht="30" customHeight="1">
      <x:c r="A108" s="182" t="str">
        <x:f>'Stationen Abfrage dataprocessor'!$A$25</x:f>
        <x:v>UK Erlangen</x:v>
      </x:c>
      <x:c r="B108" s="182" t="str">
        <x:f>'Stationen Abfrage dataprocessor'!$D$25</x:f>
        <x:v>Unfallchirurgie</x:v>
      </x:c>
      <x:c r="C108" s="182" t="str">
        <x:v>RES</x:v>
      </x:c>
      <x:c r="D108" s="182" t="str">
        <x:f>'Stationen Abfrage dataprocessor'!$P$25</x:f>
        <x:v>ja</x:v>
      </x:c>
      <x:c r="E108" s="189" t="n">
        <x:f>IF(G108="definiert",MAX('Stationen Abfrage dataprocessor'!$E$25,'Stationen Abfrage dataprocessor'!$G$25),"")</x:f>
        <x:v>46045</x:v>
      </x:c>
      <x:c r="F108" s="189" t="n">
        <x:f>IF(G108="definiert",'Stationen Abfrage dataprocessor'!$H$25+1,"")</x:f>
        <x:v>46210</x:v>
      </x:c>
      <x:c r="G108" s="182" t="str">
        <x:f>IF(D108="nein","nicht_anwendbar",IF(D108&lt;&gt;"ja","Konfiguration fehlt",IF(OR(NOT(ISNUMBER('Stationen Abfrage dataprocessor'!$E$25)),NOT(ISNUMBER('Stationen Abfrage dataprocessor'!$G$25)),NOT(ISNUMBER('Stationen Abfrage dataprocessor'!$H$25))),"Konfiguration fehlt",IF(('Stationen Abfrage dataprocessor'!$H$25+1)&lt;=(MAX('Stationen Abfrage dataprocessor'!$E$25,'Stationen Abfrage dataprocessor'!$G$25)),"kein_beobachtetes_fenster","definiert"))))</x:f>
        <x:v>definiert</x:v>
      </x:c>
      <x:c r="H108" s="182" t="str">
        <x:v>ja</x:v>
      </x:c>
      <x:c r="I108" s="182" t="str">
        <x:v>ja</x:v>
      </x:c>
      <x:c r="J108" s="182" t="str">
        <x:f>'Stationen Abfrage dataprocessor'!$S$25</x:f>
        <x:v>fallbezogen prüfen</x:v>
      </x:c>
      <x:c r="K108" s="190" t="n">
        <x:f>IF(G108="definiert",F108-E108,"")</x:f>
        <x:v>165</x:v>
      </x:c>
      <x:c r="L108" s="182" t="n">
        <x:v>25</x:v>
      </x:c>
      <x:c r="M108" s="182" t="str">
        <x:f>IF('Stationen Abfrage dataprocessor'!$K$25="","",'Stationen Abfrage dataprocessor'!$K$25)</x:f>
      </x:c>
      <x:c r="N108" s="182" t="str">
        <x:f>Definitionen!$B$2</x:f>
        <x:v>IP-COHORT-2026-10-28-01</x:v>
      </x:c>
    </x:row>
    <x:row r="109" ht="30" customHeight="1">
      <x:c r="A109" s="182" t="str">
        <x:f>'Stationen Abfrage dataprocessor'!$A$25</x:f>
        <x:v>UK Erlangen</x:v>
      </x:c>
      <x:c r="B109" s="182" t="str">
        <x:f>'Stationen Abfrage dataprocessor'!$D$25</x:f>
        <x:v>Unfallchirurgie</x:v>
      </x:c>
      <x:c r="C109" s="182" t="str">
        <x:v>TRS</x:v>
      </x:c>
      <x:c r="D109" s="182" t="str">
        <x:f>'Stationen Abfrage dataprocessor'!$Q$25</x:f>
        <x:v>ja</x:v>
      </x:c>
      <x:c r="E109" s="189" t="n">
        <x:f>IF(G109="definiert",'Stationen Abfrage dataprocessor'!$E$25,"")</x:f>
        <x:v>45810</x:v>
      </x:c>
      <x:c r="F109" s="189" t="n">
        <x:f>IF(G109="definiert",'Stationen Abfrage dataprocessor'!$H$25+1,"")</x:f>
        <x:v>46210</x:v>
      </x:c>
      <x:c r="G109" s="182" t="str">
        <x:f>IF(D109="nein","nicht_anwendbar",IF(D109&lt;&gt;"ja","Konfiguration fehlt",IF(OR(NOT(ISNUMBER('Stationen Abfrage dataprocessor'!$E$25)),NOT(ISNUMBER('Stationen Abfrage dataprocessor'!$H$25))),"Konfiguration fehlt",IF(('Stationen Abfrage dataprocessor'!$H$25+1)&lt;=('Stationen Abfrage dataprocessor'!$E$25),"kein_beobachtetes_fenster","definiert"))))</x:f>
        <x:v>definiert</x:v>
      </x:c>
      <x:c r="H109" s="182" t="str">
        <x:v>ja</x:v>
      </x:c>
      <x:c r="I109" s="182" t="str">
        <x:v>nein</x:v>
      </x:c>
      <x:c r="J109" s="182" t="str">
        <x:f>"nicht Voraussetzung"</x:f>
        <x:v>nicht Voraussetzung</x:v>
      </x:c>
      <x:c r="K109" s="190" t="n">
        <x:f>IF(G109="definiert",F109-E109,"")</x:f>
        <x:v>400</x:v>
      </x:c>
      <x:c r="L109" s="182" t="n">
        <x:v>25</x:v>
      </x:c>
      <x:c r="M109" s="182" t="str">
        <x:f>IF('Stationen Abfrage dataprocessor'!$K$25="","",'Stationen Abfrage dataprocessor'!$K$25)</x:f>
      </x:c>
      <x:c r="N109" s="182" t="str">
        <x:f>Definitionen!$B$2</x:f>
        <x:v>IP-COHORT-2026-10-28-01</x:v>
      </x:c>
    </x:row>
    <x:row r="110" ht="30" customHeight="1">
      <x:c r="A110" s="182" t="str">
        <x:f>'Stationen Abfrage dataprocessor'!$A$26</x:f>
        <x:v>UK Erlangen</x:v>
      </x:c>
      <x:c r="B110" s="182" t="str">
        <x:f>'Stationen Abfrage dataprocessor'!$D$26</x:f>
        <x:v>Allgemeinchirugie</x:v>
      </x:c>
      <x:c r="C110" s="182" t="str">
        <x:v>BS</x:v>
      </x:c>
      <x:c r="D110" s="182" t="str">
        <x:f>'Stationen Abfrage dataprocessor'!$M$26</x:f>
        <x:v>ja</x:v>
      </x:c>
      <x:c r="E110" s="189" t="n">
        <x:f>IF(G110="definiert",'Stationen Abfrage dataprocessor'!$E$26,"")</x:f>
        <x:v>45818</x:v>
      </x:c>
      <x:c r="F110" s="189" t="n">
        <x:f>IF(G110="definiert",IF('Stationen Abfrage dataprocessor'!$T$26="Studienende",'Stationen Abfrage dataprocessor'!$H$26+1,MIN('Stationen Abfrage dataprocessor'!$F$26,'Stationen Abfrage dataprocessor'!$H$26+1)),"")</x:f>
        <x:v>46017</x:v>
      </x:c>
      <x:c r="G110" s="182" t="str">
        <x:f>IF(D110="nein","nicht_anwendbar",IF(D110&lt;&gt;"ja","Konfiguration fehlt",IF(OR(NOT(ISNUMBER('Stationen Abfrage dataprocessor'!$E$26)),NOT(ISNUMBER('Stationen Abfrage dataprocessor'!$H$26)),AND('Stationen Abfrage dataprocessor'!$T$26&lt;&gt;"Phasengrenze",'Stationen Abfrage dataprocessor'!$T$26&lt;&gt;"Studienende"),AND('Stationen Abfrage dataprocessor'!$T$26="Phasengrenze",NOT(ISNUMBER('Stationen Abfrage dataprocessor'!$F$26)))),"Konfiguration fehlt",IF((IF('Stationen Abfrage dataprocessor'!$T$26="Studienende",'Stationen Abfrage dataprocessor'!$H$26+1,MIN('Stationen Abfrage dataprocessor'!$F$26,'Stationen Abfrage dataprocessor'!$H$26+1)))&lt;=('Stationen Abfrage dataprocessor'!$E$26),"kein_beobachtetes_fenster","definiert"))))</x:f>
        <x:v>definiert</x:v>
      </x:c>
      <x:c r="H110" s="182" t="str">
        <x:v>nein</x:v>
      </x:c>
      <x:c r="I110" s="182" t="str">
        <x:v>nein</x:v>
      </x:c>
      <x:c r="J110" s="182" t="str">
        <x:f>"nicht Voraussetzung"</x:f>
        <x:v>nicht Voraussetzung</x:v>
      </x:c>
      <x:c r="K110" s="190" t="n">
        <x:f>IF(G110="definiert",F110-E110,"")</x:f>
        <x:v>199</x:v>
      </x:c>
      <x:c r="L110" s="182" t="n">
        <x:v>26</x:v>
      </x:c>
      <x:c r="M110" s="182" t="str">
        <x:f>IF('Stationen Abfrage dataprocessor'!$K$26="","",'Stationen Abfrage dataprocessor'!$K$26)</x:f>
      </x:c>
      <x:c r="N110" s="182" t="str">
        <x:f>Definitionen!$B$2</x:f>
        <x:v>IP-COHORT-2026-10-28-01</x:v>
      </x:c>
    </x:row>
    <x:row r="111" ht="30" customHeight="1">
      <x:c r="A111" s="182" t="str">
        <x:f>'Stationen Abfrage dataprocessor'!$A$26</x:f>
        <x:v>UK Erlangen</x:v>
      </x:c>
      <x:c r="B111" s="182" t="str">
        <x:f>'Stationen Abfrage dataprocessor'!$D$26</x:f>
        <x:v>Allgemeinchirugie</x:v>
      </x:c>
      <x:c r="C111" s="182" t="str">
        <x:v>CRS-A</x:v>
      </x:c>
      <x:c r="D111" s="182" t="str">
        <x:f>'Stationen Abfrage dataprocessor'!$N$26</x:f>
        <x:v>ja</x:v>
      </x:c>
      <x:c r="E111" s="189" t="n">
        <x:f>IF(G111="definiert",MAX('Stationen Abfrage dataprocessor'!$E$26,'Stationen Abfrage dataprocessor'!$F$26),"")</x:f>
        <x:v>46017</x:v>
      </x:c>
      <x:c r="F111" s="189" t="n">
        <x:f>IF(G111="definiert",MIN('Stationen Abfrage dataprocessor'!$G$26,'Stationen Abfrage dataprocessor'!$H$26+1),"")</x:f>
        <x:v>46073</x:v>
      </x:c>
      <x:c r="G111" s="182" t="str">
        <x:f>IF(D111="nein","nicht_anwendbar",IF(D111&lt;&gt;"ja","Konfiguration fehlt",IF(OR(NOT(ISNUMBER('Stationen Abfrage dataprocessor'!$E$26)),NOT(ISNUMBER('Stationen Abfrage dataprocessor'!$F$26)),NOT(ISNUMBER('Stationen Abfrage dataprocessor'!$G$26)),NOT(ISNUMBER('Stationen Abfrage dataprocessor'!$H$26))),"Konfiguration fehlt",IF((MIN('Stationen Abfrage dataprocessor'!$G$26,'Stationen Abfrage dataprocessor'!$H$26+1))&lt;=(MAX('Stationen Abfrage dataprocessor'!$E$26,'Stationen Abfrage dataprocessor'!$F$26)),"kein_beobachtetes_fenster","definiert"))))</x:f>
        <x:v>definiert</x:v>
      </x:c>
      <x:c r="H111" s="182" t="str">
        <x:v>nein</x:v>
      </x:c>
      <x:c r="I111" s="182" t="str">
        <x:v>nein</x:v>
      </x:c>
      <x:c r="J111" s="182" t="str">
        <x:f>"nicht Voraussetzung"</x:f>
        <x:v>nicht Voraussetzung</x:v>
      </x:c>
      <x:c r="K111" s="190" t="n">
        <x:f>IF(G111="definiert",F111-E111,"")</x:f>
        <x:v>56</x:v>
      </x:c>
      <x:c r="L111" s="182" t="n">
        <x:v>26</x:v>
      </x:c>
      <x:c r="M111" s="182" t="str">
        <x:f>IF('Stationen Abfrage dataprocessor'!$K$26="","",'Stationen Abfrage dataprocessor'!$K$26)</x:f>
      </x:c>
      <x:c r="N111" s="182" t="str">
        <x:f>Definitionen!$B$2</x:f>
        <x:v>IP-COHORT-2026-10-28-01</x:v>
      </x:c>
    </x:row>
    <x:row r="112" ht="30" customHeight="1">
      <x:c r="A112" s="182" t="str">
        <x:f>'Stationen Abfrage dataprocessor'!$A$26</x:f>
        <x:v>UK Erlangen</x:v>
      </x:c>
      <x:c r="B112" s="182" t="str">
        <x:f>'Stationen Abfrage dataprocessor'!$D$26</x:f>
        <x:v>Allgemeinchirugie</x:v>
      </x:c>
      <x:c r="C112" s="182" t="str">
        <x:v>CRS-B</x:v>
      </x:c>
      <x:c r="D112" s="182" t="str">
        <x:f>'Stationen Abfrage dataprocessor'!$O$26</x:f>
        <x:v>ja</x:v>
      </x:c>
      <x:c r="E112" s="189" t="n">
        <x:f>IF(G112="definiert",MAX('Stationen Abfrage dataprocessor'!$E$26,'Stationen Abfrage dataprocessor'!$G$26),"")</x:f>
        <x:v>46073</x:v>
      </x:c>
      <x:c r="F112" s="189" t="n">
        <x:f>IF(G112="definiert",'Stationen Abfrage dataprocessor'!$H$26+1,"")</x:f>
        <x:v>46210</x:v>
      </x:c>
      <x:c r="G112" s="182" t="str">
        <x:f>IF(D112="nein","nicht_anwendbar",IF(D112&lt;&gt;"ja","Konfiguration fehlt",IF(OR(NOT(ISNUMBER('Stationen Abfrage dataprocessor'!$E$26)),NOT(ISNUMBER('Stationen Abfrage dataprocessor'!$G$26)),NOT(ISNUMBER('Stationen Abfrage dataprocessor'!$H$26))),"Konfiguration fehlt",IF(('Stationen Abfrage dataprocessor'!$H$26+1)&lt;=(MAX('Stationen Abfrage dataprocessor'!$E$26,'Stationen Abfrage dataprocessor'!$G$26)),"kein_beobachtetes_fenster","definiert"))))</x:f>
        <x:v>definiert</x:v>
      </x:c>
      <x:c r="H112" s="182" t="str">
        <x:v>nein</x:v>
      </x:c>
      <x:c r="I112" s="182" t="str">
        <x:v>nein</x:v>
      </x:c>
      <x:c r="J112" s="182" t="str">
        <x:f>'Stationen Abfrage dataprocessor'!$S$26</x:f>
        <x:v>fallbezogen prüfen</x:v>
      </x:c>
      <x:c r="K112" s="190" t="n">
        <x:f>IF(G112="definiert",F112-E112,"")</x:f>
        <x:v>137</x:v>
      </x:c>
      <x:c r="L112" s="182" t="n">
        <x:v>26</x:v>
      </x:c>
      <x:c r="M112" s="182" t="str">
        <x:f>IF('Stationen Abfrage dataprocessor'!$K$26="","",'Stationen Abfrage dataprocessor'!$K$26)</x:f>
      </x:c>
      <x:c r="N112" s="182" t="str">
        <x:f>Definitionen!$B$2</x:f>
        <x:v>IP-COHORT-2026-10-28-01</x:v>
      </x:c>
    </x:row>
    <x:row r="113" ht="30" customHeight="1">
      <x:c r="A113" s="182" t="str">
        <x:f>'Stationen Abfrage dataprocessor'!$A$26</x:f>
        <x:v>UK Erlangen</x:v>
      </x:c>
      <x:c r="B113" s="182" t="str">
        <x:f>'Stationen Abfrage dataprocessor'!$D$26</x:f>
        <x:v>Allgemeinchirugie</x:v>
      </x:c>
      <x:c r="C113" s="182" t="str">
        <x:v>RES</x:v>
      </x:c>
      <x:c r="D113" s="182" t="str">
        <x:f>'Stationen Abfrage dataprocessor'!$P$26</x:f>
        <x:v>ja</x:v>
      </x:c>
      <x:c r="E113" s="189" t="n">
        <x:f>IF(G113="definiert",MAX('Stationen Abfrage dataprocessor'!$E$26,'Stationen Abfrage dataprocessor'!$G$26),"")</x:f>
        <x:v>46073</x:v>
      </x:c>
      <x:c r="F113" s="189" t="n">
        <x:f>IF(G113="definiert",'Stationen Abfrage dataprocessor'!$H$26+1,"")</x:f>
        <x:v>46210</x:v>
      </x:c>
      <x:c r="G113" s="182" t="str">
        <x:f>IF(D113="nein","nicht_anwendbar",IF(D113&lt;&gt;"ja","Konfiguration fehlt",IF(OR(NOT(ISNUMBER('Stationen Abfrage dataprocessor'!$E$26)),NOT(ISNUMBER('Stationen Abfrage dataprocessor'!$G$26)),NOT(ISNUMBER('Stationen Abfrage dataprocessor'!$H$26))),"Konfiguration fehlt",IF(('Stationen Abfrage dataprocessor'!$H$26+1)&lt;=(MAX('Stationen Abfrage dataprocessor'!$E$26,'Stationen Abfrage dataprocessor'!$G$26)),"kein_beobachtetes_fenster","definiert"))))</x:f>
        <x:v>definiert</x:v>
      </x:c>
      <x:c r="H113" s="182" t="str">
        <x:v>ja</x:v>
      </x:c>
      <x:c r="I113" s="182" t="str">
        <x:v>ja</x:v>
      </x:c>
      <x:c r="J113" s="182" t="str">
        <x:f>'Stationen Abfrage dataprocessor'!$S$26</x:f>
        <x:v>fallbezogen prüfen</x:v>
      </x:c>
      <x:c r="K113" s="190" t="n">
        <x:f>IF(G113="definiert",F113-E113,"")</x:f>
        <x:v>137</x:v>
      </x:c>
      <x:c r="L113" s="182" t="n">
        <x:v>26</x:v>
      </x:c>
      <x:c r="M113" s="182" t="str">
        <x:f>IF('Stationen Abfrage dataprocessor'!$K$26="","",'Stationen Abfrage dataprocessor'!$K$26)</x:f>
      </x:c>
      <x:c r="N113" s="182" t="str">
        <x:f>Definitionen!$B$2</x:f>
        <x:v>IP-COHORT-2026-10-28-01</x:v>
      </x:c>
    </x:row>
    <x:row r="114" ht="30" customHeight="1">
      <x:c r="A114" s="182" t="str">
        <x:f>'Stationen Abfrage dataprocessor'!$A$26</x:f>
        <x:v>UK Erlangen</x:v>
      </x:c>
      <x:c r="B114" s="182" t="str">
        <x:f>'Stationen Abfrage dataprocessor'!$D$26</x:f>
        <x:v>Allgemeinchirugie</x:v>
      </x:c>
      <x:c r="C114" s="182" t="str">
        <x:v>TRS</x:v>
      </x:c>
      <x:c r="D114" s="182" t="str">
        <x:f>'Stationen Abfrage dataprocessor'!$Q$26</x:f>
        <x:v>ja</x:v>
      </x:c>
      <x:c r="E114" s="189" t="n">
        <x:f>IF(G114="definiert",'Stationen Abfrage dataprocessor'!$E$26,"")</x:f>
        <x:v>45818</x:v>
      </x:c>
      <x:c r="F114" s="189" t="n">
        <x:f>IF(G114="definiert",'Stationen Abfrage dataprocessor'!$H$26+1,"")</x:f>
        <x:v>46210</x:v>
      </x:c>
      <x:c r="G114" s="182" t="str">
        <x:f>IF(D114="nein","nicht_anwendbar",IF(D114&lt;&gt;"ja","Konfiguration fehlt",IF(OR(NOT(ISNUMBER('Stationen Abfrage dataprocessor'!$E$26)),NOT(ISNUMBER('Stationen Abfrage dataprocessor'!$H$26))),"Konfiguration fehlt",IF(('Stationen Abfrage dataprocessor'!$H$26+1)&lt;=('Stationen Abfrage dataprocessor'!$E$26),"kein_beobachtetes_fenster","definiert"))))</x:f>
        <x:v>definiert</x:v>
      </x:c>
      <x:c r="H114" s="182" t="str">
        <x:v>ja</x:v>
      </x:c>
      <x:c r="I114" s="182" t="str">
        <x:v>nein</x:v>
      </x:c>
      <x:c r="J114" s="182" t="str">
        <x:f>"nicht Voraussetzung"</x:f>
        <x:v>nicht Voraussetzung</x:v>
      </x:c>
      <x:c r="K114" s="190" t="n">
        <x:f>IF(G114="definiert",F114-E114,"")</x:f>
        <x:v>392</x:v>
      </x:c>
      <x:c r="L114" s="182" t="n">
        <x:v>26</x:v>
      </x:c>
      <x:c r="M114" s="182" t="str">
        <x:f>IF('Stationen Abfrage dataprocessor'!$K$26="","",'Stationen Abfrage dataprocessor'!$K$26)</x:f>
      </x:c>
      <x:c r="N114" s="182" t="str">
        <x:f>Definitionen!$B$2</x:f>
        <x:v>IP-COHORT-2026-10-28-01</x:v>
      </x:c>
    </x:row>
    <x:row r="115" ht="30" customHeight="1">
      <x:c r="A115" s="182" t="str">
        <x:f>'Stationen Abfrage dataprocessor'!$A$27</x:f>
        <x:v>UK Erlangen</x:v>
      </x:c>
      <x:c r="B115" s="182" t="str">
        <x:f>'Stationen Abfrage dataprocessor'!$D$27</x:f>
        <x:v>Pneumologie</x:v>
      </x:c>
      <x:c r="C115" s="182" t="str">
        <x:v>BS</x:v>
      </x:c>
      <x:c r="D115" s="182" t="str">
        <x:f>'Stationen Abfrage dataprocessor'!$M$27</x:f>
        <x:v>ja</x:v>
      </x:c>
      <x:c r="E115" s="189" t="n">
        <x:f>IF(G115="definiert",'Stationen Abfrage dataprocessor'!$E$27,"")</x:f>
        <x:v>45796</x:v>
      </x:c>
      <x:c r="F115" s="189" t="n">
        <x:f>IF(G115="definiert",IF('Stationen Abfrage dataprocessor'!$T$27="Studienende",'Stationen Abfrage dataprocessor'!$H$27+1,MIN('Stationen Abfrage dataprocessor'!$F$27,'Stationen Abfrage dataprocessor'!$H$27+1)),"")</x:f>
        <x:v>46017</x:v>
      </x:c>
      <x:c r="G115" s="182" t="str">
        <x:f>IF(D115="nein","nicht_anwendbar",IF(D115&lt;&gt;"ja","Konfiguration fehlt",IF(OR(NOT(ISNUMBER('Stationen Abfrage dataprocessor'!$E$27)),NOT(ISNUMBER('Stationen Abfrage dataprocessor'!$H$27)),AND('Stationen Abfrage dataprocessor'!$T$27&lt;&gt;"Phasengrenze",'Stationen Abfrage dataprocessor'!$T$27&lt;&gt;"Studienende"),AND('Stationen Abfrage dataprocessor'!$T$27="Phasengrenze",NOT(ISNUMBER('Stationen Abfrage dataprocessor'!$F$27)))),"Konfiguration fehlt",IF((IF('Stationen Abfrage dataprocessor'!$T$27="Studienende",'Stationen Abfrage dataprocessor'!$H$27+1,MIN('Stationen Abfrage dataprocessor'!$F$27,'Stationen Abfrage dataprocessor'!$H$27+1)))&lt;=('Stationen Abfrage dataprocessor'!$E$27),"kein_beobachtetes_fenster","definiert"))))</x:f>
        <x:v>definiert</x:v>
      </x:c>
      <x:c r="H115" s="182" t="str">
        <x:v>nein</x:v>
      </x:c>
      <x:c r="I115" s="182" t="str">
        <x:v>nein</x:v>
      </x:c>
      <x:c r="J115" s="182" t="str">
        <x:f>"nicht Voraussetzung"</x:f>
        <x:v>nicht Voraussetzung</x:v>
      </x:c>
      <x:c r="K115" s="190" t="n">
        <x:f>IF(G115="definiert",F115-E115,"")</x:f>
        <x:v>221</x:v>
      </x:c>
      <x:c r="L115" s="182" t="n">
        <x:v>27</x:v>
      </x:c>
      <x:c r="M115" s="182" t="str">
        <x:f>IF('Stationen Abfrage dataprocessor'!$K$27="","",'Stationen Abfrage dataprocessor'!$K$27)</x:f>
      </x:c>
      <x:c r="N115" s="182" t="str">
        <x:f>Definitionen!$B$2</x:f>
        <x:v>IP-COHORT-2026-10-28-01</x:v>
      </x:c>
    </x:row>
    <x:row r="116" ht="30" customHeight="1">
      <x:c r="A116" s="182" t="str">
        <x:f>'Stationen Abfrage dataprocessor'!$A$27</x:f>
        <x:v>UK Erlangen</x:v>
      </x:c>
      <x:c r="B116" s="182" t="str">
        <x:f>'Stationen Abfrage dataprocessor'!$D$27</x:f>
        <x:v>Pneumologie</x:v>
      </x:c>
      <x:c r="C116" s="182" t="str">
        <x:v>CRS-A</x:v>
      </x:c>
      <x:c r="D116" s="182" t="str">
        <x:f>'Stationen Abfrage dataprocessor'!$N$27</x:f>
        <x:v>ja</x:v>
      </x:c>
      <x:c r="E116" s="189" t="n">
        <x:f>IF(G116="definiert",MAX('Stationen Abfrage dataprocessor'!$E$27,'Stationen Abfrage dataprocessor'!$F$27),"")</x:f>
        <x:v>46017</x:v>
      </x:c>
      <x:c r="F116" s="189" t="n">
        <x:f>IF(G116="definiert",MIN('Stationen Abfrage dataprocessor'!$G$27,'Stationen Abfrage dataprocessor'!$H$27+1),"")</x:f>
        <x:v>46101</x:v>
      </x:c>
      <x:c r="G116" s="182" t="str">
        <x:f>IF(D116="nein","nicht_anwendbar",IF(D116&lt;&gt;"ja","Konfiguration fehlt",IF(OR(NOT(ISNUMBER('Stationen Abfrage dataprocessor'!$E$27)),NOT(ISNUMBER('Stationen Abfrage dataprocessor'!$F$27)),NOT(ISNUMBER('Stationen Abfrage dataprocessor'!$G$27)),NOT(ISNUMBER('Stationen Abfrage dataprocessor'!$H$27))),"Konfiguration fehlt",IF((MIN('Stationen Abfrage dataprocessor'!$G$27,'Stationen Abfrage dataprocessor'!$H$27+1))&lt;=(MAX('Stationen Abfrage dataprocessor'!$E$27,'Stationen Abfrage dataprocessor'!$F$27)),"kein_beobachtetes_fenster","definiert"))))</x:f>
        <x:v>definiert</x:v>
      </x:c>
      <x:c r="H116" s="182" t="str">
        <x:v>nein</x:v>
      </x:c>
      <x:c r="I116" s="182" t="str">
        <x:v>nein</x:v>
      </x:c>
      <x:c r="J116" s="182" t="str">
        <x:f>"nicht Voraussetzung"</x:f>
        <x:v>nicht Voraussetzung</x:v>
      </x:c>
      <x:c r="K116" s="190" t="n">
        <x:f>IF(G116="definiert",F116-E116,"")</x:f>
        <x:v>84</x:v>
      </x:c>
      <x:c r="L116" s="182" t="n">
        <x:v>27</x:v>
      </x:c>
      <x:c r="M116" s="182" t="str">
        <x:f>IF('Stationen Abfrage dataprocessor'!$K$27="","",'Stationen Abfrage dataprocessor'!$K$27)</x:f>
      </x:c>
      <x:c r="N116" s="182" t="str">
        <x:f>Definitionen!$B$2</x:f>
        <x:v>IP-COHORT-2026-10-28-01</x:v>
      </x:c>
    </x:row>
    <x:row r="117" ht="30" customHeight="1">
      <x:c r="A117" s="182" t="str">
        <x:f>'Stationen Abfrage dataprocessor'!$A$27</x:f>
        <x:v>UK Erlangen</x:v>
      </x:c>
      <x:c r="B117" s="182" t="str">
        <x:f>'Stationen Abfrage dataprocessor'!$D$27</x:f>
        <x:v>Pneumologie</x:v>
      </x:c>
      <x:c r="C117" s="182" t="str">
        <x:v>CRS-B</x:v>
      </x:c>
      <x:c r="D117" s="182" t="str">
        <x:f>'Stationen Abfrage dataprocessor'!$O$27</x:f>
        <x:v>ja</x:v>
      </x:c>
      <x:c r="E117" s="189" t="n">
        <x:f>IF(G117="definiert",MAX('Stationen Abfrage dataprocessor'!$E$27,'Stationen Abfrage dataprocessor'!$G$27),"")</x:f>
        <x:v>46101</x:v>
      </x:c>
      <x:c r="F117" s="189" t="n">
        <x:f>IF(G117="definiert",'Stationen Abfrage dataprocessor'!$H$27+1,"")</x:f>
        <x:v>46210</x:v>
      </x:c>
      <x:c r="G117" s="182" t="str">
        <x:f>IF(D117="nein","nicht_anwendbar",IF(D117&lt;&gt;"ja","Konfiguration fehlt",IF(OR(NOT(ISNUMBER('Stationen Abfrage dataprocessor'!$E$27)),NOT(ISNUMBER('Stationen Abfrage dataprocessor'!$G$27)),NOT(ISNUMBER('Stationen Abfrage dataprocessor'!$H$27))),"Konfiguration fehlt",IF(('Stationen Abfrage dataprocessor'!$H$27+1)&lt;=(MAX('Stationen Abfrage dataprocessor'!$E$27,'Stationen Abfrage dataprocessor'!$G$27)),"kein_beobachtetes_fenster","definiert"))))</x:f>
        <x:v>definiert</x:v>
      </x:c>
      <x:c r="H117" s="182" t="str">
        <x:v>nein</x:v>
      </x:c>
      <x:c r="I117" s="182" t="str">
        <x:v>nein</x:v>
      </x:c>
      <x:c r="J117" s="182" t="str">
        <x:f>'Stationen Abfrage dataprocessor'!$S$27</x:f>
        <x:v>fallbezogen prüfen</x:v>
      </x:c>
      <x:c r="K117" s="190" t="n">
        <x:f>IF(G117="definiert",F117-E117,"")</x:f>
        <x:v>109</x:v>
      </x:c>
      <x:c r="L117" s="182" t="n">
        <x:v>27</x:v>
      </x:c>
      <x:c r="M117" s="182" t="str">
        <x:f>IF('Stationen Abfrage dataprocessor'!$K$27="","",'Stationen Abfrage dataprocessor'!$K$27)</x:f>
      </x:c>
      <x:c r="N117" s="182" t="str">
        <x:f>Definitionen!$B$2</x:f>
        <x:v>IP-COHORT-2026-10-28-01</x:v>
      </x:c>
    </x:row>
    <x:row r="118" ht="30" customHeight="1">
      <x:c r="A118" s="182" t="str">
        <x:f>'Stationen Abfrage dataprocessor'!$A$27</x:f>
        <x:v>UK Erlangen</x:v>
      </x:c>
      <x:c r="B118" s="182" t="str">
        <x:f>'Stationen Abfrage dataprocessor'!$D$27</x:f>
        <x:v>Pneumologie</x:v>
      </x:c>
      <x:c r="C118" s="182" t="str">
        <x:v>RES</x:v>
      </x:c>
      <x:c r="D118" s="182" t="str">
        <x:f>'Stationen Abfrage dataprocessor'!$P$27</x:f>
        <x:v>ja</x:v>
      </x:c>
      <x:c r="E118" s="189" t="n">
        <x:f>IF(G118="definiert",MAX('Stationen Abfrage dataprocessor'!$E$27,'Stationen Abfrage dataprocessor'!$G$27),"")</x:f>
        <x:v>46101</x:v>
      </x:c>
      <x:c r="F118" s="189" t="n">
        <x:f>IF(G118="definiert",'Stationen Abfrage dataprocessor'!$H$27+1,"")</x:f>
        <x:v>46210</x:v>
      </x:c>
      <x:c r="G118" s="182" t="str">
        <x:f>IF(D118="nein","nicht_anwendbar",IF(D118&lt;&gt;"ja","Konfiguration fehlt",IF(OR(NOT(ISNUMBER('Stationen Abfrage dataprocessor'!$E$27)),NOT(ISNUMBER('Stationen Abfrage dataprocessor'!$G$27)),NOT(ISNUMBER('Stationen Abfrage dataprocessor'!$H$27))),"Konfiguration fehlt",IF(('Stationen Abfrage dataprocessor'!$H$27+1)&lt;=(MAX('Stationen Abfrage dataprocessor'!$E$27,'Stationen Abfrage dataprocessor'!$G$27)),"kein_beobachtetes_fenster","definiert"))))</x:f>
        <x:v>definiert</x:v>
      </x:c>
      <x:c r="H118" s="182" t="str">
        <x:v>ja</x:v>
      </x:c>
      <x:c r="I118" s="182" t="str">
        <x:v>ja</x:v>
      </x:c>
      <x:c r="J118" s="182" t="str">
        <x:f>'Stationen Abfrage dataprocessor'!$S$27</x:f>
        <x:v>fallbezogen prüfen</x:v>
      </x:c>
      <x:c r="K118" s="190" t="n">
        <x:f>IF(G118="definiert",F118-E118,"")</x:f>
        <x:v>109</x:v>
      </x:c>
      <x:c r="L118" s="182" t="n">
        <x:v>27</x:v>
      </x:c>
      <x:c r="M118" s="182" t="str">
        <x:f>IF('Stationen Abfrage dataprocessor'!$K$27="","",'Stationen Abfrage dataprocessor'!$K$27)</x:f>
      </x:c>
      <x:c r="N118" s="182" t="str">
        <x:f>Definitionen!$B$2</x:f>
        <x:v>IP-COHORT-2026-10-28-01</x:v>
      </x:c>
    </x:row>
    <x:row r="119" ht="30" customHeight="1">
      <x:c r="A119" s="182" t="str">
        <x:f>'Stationen Abfrage dataprocessor'!$A$27</x:f>
        <x:v>UK Erlangen</x:v>
      </x:c>
      <x:c r="B119" s="182" t="str">
        <x:f>'Stationen Abfrage dataprocessor'!$D$27</x:f>
        <x:v>Pneumologie</x:v>
      </x:c>
      <x:c r="C119" s="182" t="str">
        <x:v>TRS</x:v>
      </x:c>
      <x:c r="D119" s="182" t="str">
        <x:f>'Stationen Abfrage dataprocessor'!$Q$27</x:f>
        <x:v>ja</x:v>
      </x:c>
      <x:c r="E119" s="189" t="n">
        <x:f>IF(G119="definiert",'Stationen Abfrage dataprocessor'!$E$27,"")</x:f>
        <x:v>45796</x:v>
      </x:c>
      <x:c r="F119" s="189" t="n">
        <x:f>IF(G119="definiert",'Stationen Abfrage dataprocessor'!$H$27+1,"")</x:f>
        <x:v>46210</x:v>
      </x:c>
      <x:c r="G119" s="182" t="str">
        <x:f>IF(D119="nein","nicht_anwendbar",IF(D119&lt;&gt;"ja","Konfiguration fehlt",IF(OR(NOT(ISNUMBER('Stationen Abfrage dataprocessor'!$E$27)),NOT(ISNUMBER('Stationen Abfrage dataprocessor'!$H$27))),"Konfiguration fehlt",IF(('Stationen Abfrage dataprocessor'!$H$27+1)&lt;=('Stationen Abfrage dataprocessor'!$E$27),"kein_beobachtetes_fenster","definiert"))))</x:f>
        <x:v>definiert</x:v>
      </x:c>
      <x:c r="H119" s="182" t="str">
        <x:v>ja</x:v>
      </x:c>
      <x:c r="I119" s="182" t="str">
        <x:v>nein</x:v>
      </x:c>
      <x:c r="J119" s="182" t="str">
        <x:f>"nicht Voraussetzung"</x:f>
        <x:v>nicht Voraussetzung</x:v>
      </x:c>
      <x:c r="K119" s="190" t="n">
        <x:f>IF(G119="definiert",F119-E119,"")</x:f>
        <x:v>414</x:v>
      </x:c>
      <x:c r="L119" s="182" t="n">
        <x:v>27</x:v>
      </x:c>
      <x:c r="M119" s="182" t="str">
        <x:f>IF('Stationen Abfrage dataprocessor'!$K$27="","",'Stationen Abfrage dataprocessor'!$K$27)</x:f>
      </x:c>
      <x:c r="N119" s="182" t="str">
        <x:f>Definitionen!$B$2</x:f>
        <x:v>IP-COHORT-2026-10-28-01</x:v>
      </x:c>
    </x:row>
    <x:row r="120" ht="30" customHeight="1">
      <x:c r="A120" s="182" t="str">
        <x:f>'Stationen Abfrage dataprocessor'!$A$28</x:f>
        <x:v>UK Erlangen</x:v>
      </x:c>
      <x:c r="B120" s="182" t="str">
        <x:f>'Stationen Abfrage dataprocessor'!$D$28</x:f>
        <x:v>Kieferchirugie</x:v>
      </x:c>
      <x:c r="C120" s="182" t="str">
        <x:v>BS</x:v>
      </x:c>
      <x:c r="D120" s="182" t="str">
        <x:f>'Stationen Abfrage dataprocessor'!$M$28</x:f>
        <x:v>ja</x:v>
      </x:c>
      <x:c r="E120" s="189" t="n">
        <x:f>IF(G120="definiert",'Stationen Abfrage dataprocessor'!$E$28,"")</x:f>
        <x:v>45810</x:v>
      </x:c>
      <x:c r="F120" s="189" t="n">
        <x:f>IF(G120="definiert",IF('Stationen Abfrage dataprocessor'!$T$28="Studienende",'Stationen Abfrage dataprocessor'!$H$28+1,MIN('Stationen Abfrage dataprocessor'!$F$28,'Stationen Abfrage dataprocessor'!$H$28+1)),"")</x:f>
        <x:v>46017</x:v>
      </x:c>
      <x:c r="G120" s="182" t="str">
        <x:f>IF(D120="nein","nicht_anwendbar",IF(D120&lt;&gt;"ja","Konfiguration fehlt",IF(OR(NOT(ISNUMBER('Stationen Abfrage dataprocessor'!$E$28)),NOT(ISNUMBER('Stationen Abfrage dataprocessor'!$H$28)),AND('Stationen Abfrage dataprocessor'!$T$28&lt;&gt;"Phasengrenze",'Stationen Abfrage dataprocessor'!$T$28&lt;&gt;"Studienende"),AND('Stationen Abfrage dataprocessor'!$T$28="Phasengrenze",NOT(ISNUMBER('Stationen Abfrage dataprocessor'!$F$28)))),"Konfiguration fehlt",IF((IF('Stationen Abfrage dataprocessor'!$T$28="Studienende",'Stationen Abfrage dataprocessor'!$H$28+1,MIN('Stationen Abfrage dataprocessor'!$F$28,'Stationen Abfrage dataprocessor'!$H$28+1)))&lt;=('Stationen Abfrage dataprocessor'!$E$28),"kein_beobachtetes_fenster","definiert"))))</x:f>
        <x:v>definiert</x:v>
      </x:c>
      <x:c r="H120" s="182" t="str">
        <x:v>nein</x:v>
      </x:c>
      <x:c r="I120" s="182" t="str">
        <x:v>nein</x:v>
      </x:c>
      <x:c r="J120" s="182" t="str">
        <x:f>"nicht Voraussetzung"</x:f>
        <x:v>nicht Voraussetzung</x:v>
      </x:c>
      <x:c r="K120" s="190" t="n">
        <x:f>IF(G120="definiert",F120-E120,"")</x:f>
        <x:v>207</x:v>
      </x:c>
      <x:c r="L120" s="182" t="n">
        <x:v>28</x:v>
      </x:c>
      <x:c r="M120" s="182" t="str">
        <x:f>IF('Stationen Abfrage dataprocessor'!$K$28="","",'Stationen Abfrage dataprocessor'!$K$28)</x:f>
      </x:c>
      <x:c r="N120" s="182" t="str">
        <x:f>Definitionen!$B$2</x:f>
        <x:v>IP-COHORT-2026-10-28-01</x:v>
      </x:c>
    </x:row>
    <x:row r="121" ht="30" customHeight="1">
      <x:c r="A121" s="182" t="str">
        <x:f>'Stationen Abfrage dataprocessor'!$A$28</x:f>
        <x:v>UK Erlangen</x:v>
      </x:c>
      <x:c r="B121" s="182" t="str">
        <x:f>'Stationen Abfrage dataprocessor'!$D$28</x:f>
        <x:v>Kieferchirugie</x:v>
      </x:c>
      <x:c r="C121" s="182" t="str">
        <x:v>CRS-A</x:v>
      </x:c>
      <x:c r="D121" s="182" t="str">
        <x:f>'Stationen Abfrage dataprocessor'!$N$28</x:f>
        <x:v>ja</x:v>
      </x:c>
      <x:c r="E121" s="189" t="n">
        <x:f>IF(G121="definiert",MAX('Stationen Abfrage dataprocessor'!$E$28,'Stationen Abfrage dataprocessor'!$F$28),"")</x:f>
        <x:v>46017</x:v>
      </x:c>
      <x:c r="F121" s="189" t="n">
        <x:f>IF(G121="definiert",MIN('Stationen Abfrage dataprocessor'!$G$28,'Stationen Abfrage dataprocessor'!$H$28+1),"")</x:f>
        <x:v>46129</x:v>
      </x:c>
      <x:c r="G121" s="182" t="str">
        <x:f>IF(D121="nein","nicht_anwendbar",IF(D121&lt;&gt;"ja","Konfiguration fehlt",IF(OR(NOT(ISNUMBER('Stationen Abfrage dataprocessor'!$E$28)),NOT(ISNUMBER('Stationen Abfrage dataprocessor'!$F$28)),NOT(ISNUMBER('Stationen Abfrage dataprocessor'!$G$28)),NOT(ISNUMBER('Stationen Abfrage dataprocessor'!$H$28))),"Konfiguration fehlt",IF((MIN('Stationen Abfrage dataprocessor'!$G$28,'Stationen Abfrage dataprocessor'!$H$28+1))&lt;=(MAX('Stationen Abfrage dataprocessor'!$E$28,'Stationen Abfrage dataprocessor'!$F$28)),"kein_beobachtetes_fenster","definiert"))))</x:f>
        <x:v>definiert</x:v>
      </x:c>
      <x:c r="H121" s="182" t="str">
        <x:v>nein</x:v>
      </x:c>
      <x:c r="I121" s="182" t="str">
        <x:v>nein</x:v>
      </x:c>
      <x:c r="J121" s="182" t="str">
        <x:f>"nicht Voraussetzung"</x:f>
        <x:v>nicht Voraussetzung</x:v>
      </x:c>
      <x:c r="K121" s="190" t="n">
        <x:f>IF(G121="definiert",F121-E121,"")</x:f>
        <x:v>112</x:v>
      </x:c>
      <x:c r="L121" s="182" t="n">
        <x:v>28</x:v>
      </x:c>
      <x:c r="M121" s="182" t="str">
        <x:f>IF('Stationen Abfrage dataprocessor'!$K$28="","",'Stationen Abfrage dataprocessor'!$K$28)</x:f>
      </x:c>
      <x:c r="N121" s="182" t="str">
        <x:f>Definitionen!$B$2</x:f>
        <x:v>IP-COHORT-2026-10-28-01</x:v>
      </x:c>
    </x:row>
    <x:row r="122" ht="30" customHeight="1">
      <x:c r="A122" s="182" t="str">
        <x:f>'Stationen Abfrage dataprocessor'!$A$28</x:f>
        <x:v>UK Erlangen</x:v>
      </x:c>
      <x:c r="B122" s="182" t="str">
        <x:f>'Stationen Abfrage dataprocessor'!$D$28</x:f>
        <x:v>Kieferchirugie</x:v>
      </x:c>
      <x:c r="C122" s="182" t="str">
        <x:v>CRS-B</x:v>
      </x:c>
      <x:c r="D122" s="182" t="str">
        <x:f>'Stationen Abfrage dataprocessor'!$O$28</x:f>
        <x:v>ja</x:v>
      </x:c>
      <x:c r="E122" s="189" t="n">
        <x:f>IF(G122="definiert",MAX('Stationen Abfrage dataprocessor'!$E$28,'Stationen Abfrage dataprocessor'!$G$28),"")</x:f>
        <x:v>46129</x:v>
      </x:c>
      <x:c r="F122" s="189" t="n">
        <x:f>IF(G122="definiert",'Stationen Abfrage dataprocessor'!$H$28+1,"")</x:f>
        <x:v>46210</x:v>
      </x:c>
      <x:c r="G122" s="182" t="str">
        <x:f>IF(D122="nein","nicht_anwendbar",IF(D122&lt;&gt;"ja","Konfiguration fehlt",IF(OR(NOT(ISNUMBER('Stationen Abfrage dataprocessor'!$E$28)),NOT(ISNUMBER('Stationen Abfrage dataprocessor'!$G$28)),NOT(ISNUMBER('Stationen Abfrage dataprocessor'!$H$28))),"Konfiguration fehlt",IF(('Stationen Abfrage dataprocessor'!$H$28+1)&lt;=(MAX('Stationen Abfrage dataprocessor'!$E$28,'Stationen Abfrage dataprocessor'!$G$28)),"kein_beobachtetes_fenster","definiert"))))</x:f>
        <x:v>definiert</x:v>
      </x:c>
      <x:c r="H122" s="182" t="str">
        <x:v>nein</x:v>
      </x:c>
      <x:c r="I122" s="182" t="str">
        <x:v>nein</x:v>
      </x:c>
      <x:c r="J122" s="182" t="str">
        <x:f>'Stationen Abfrage dataprocessor'!$S$28</x:f>
        <x:v>fallbezogen prüfen</x:v>
      </x:c>
      <x:c r="K122" s="190" t="n">
        <x:f>IF(G122="definiert",F122-E122,"")</x:f>
        <x:v>81</x:v>
      </x:c>
      <x:c r="L122" s="182" t="n">
        <x:v>28</x:v>
      </x:c>
      <x:c r="M122" s="182" t="str">
        <x:f>IF('Stationen Abfrage dataprocessor'!$K$28="","",'Stationen Abfrage dataprocessor'!$K$28)</x:f>
      </x:c>
      <x:c r="N122" s="182" t="str">
        <x:f>Definitionen!$B$2</x:f>
        <x:v>IP-COHORT-2026-10-28-01</x:v>
      </x:c>
    </x:row>
    <x:row r="123" ht="30" customHeight="1">
      <x:c r="A123" s="182" t="str">
        <x:f>'Stationen Abfrage dataprocessor'!$A$28</x:f>
        <x:v>UK Erlangen</x:v>
      </x:c>
      <x:c r="B123" s="182" t="str">
        <x:f>'Stationen Abfrage dataprocessor'!$D$28</x:f>
        <x:v>Kieferchirugie</x:v>
      </x:c>
      <x:c r="C123" s="182" t="str">
        <x:v>RES</x:v>
      </x:c>
      <x:c r="D123" s="182" t="str">
        <x:f>'Stationen Abfrage dataprocessor'!$P$28</x:f>
        <x:v>ja</x:v>
      </x:c>
      <x:c r="E123" s="189" t="n">
        <x:f>IF(G123="definiert",MAX('Stationen Abfrage dataprocessor'!$E$28,'Stationen Abfrage dataprocessor'!$G$28),"")</x:f>
        <x:v>46129</x:v>
      </x:c>
      <x:c r="F123" s="189" t="n">
        <x:f>IF(G123="definiert",'Stationen Abfrage dataprocessor'!$H$28+1,"")</x:f>
        <x:v>46210</x:v>
      </x:c>
      <x:c r="G123" s="182" t="str">
        <x:f>IF(D123="nein","nicht_anwendbar",IF(D123&lt;&gt;"ja","Konfiguration fehlt",IF(OR(NOT(ISNUMBER('Stationen Abfrage dataprocessor'!$E$28)),NOT(ISNUMBER('Stationen Abfrage dataprocessor'!$G$28)),NOT(ISNUMBER('Stationen Abfrage dataprocessor'!$H$28))),"Konfiguration fehlt",IF(('Stationen Abfrage dataprocessor'!$H$28+1)&lt;=(MAX('Stationen Abfrage dataprocessor'!$E$28,'Stationen Abfrage dataprocessor'!$G$28)),"kein_beobachtetes_fenster","definiert"))))</x:f>
        <x:v>definiert</x:v>
      </x:c>
      <x:c r="H123" s="182" t="str">
        <x:v>ja</x:v>
      </x:c>
      <x:c r="I123" s="182" t="str">
        <x:v>ja</x:v>
      </x:c>
      <x:c r="J123" s="182" t="str">
        <x:f>'Stationen Abfrage dataprocessor'!$S$28</x:f>
        <x:v>fallbezogen prüfen</x:v>
      </x:c>
      <x:c r="K123" s="190" t="n">
        <x:f>IF(G123="definiert",F123-E123,"")</x:f>
        <x:v>81</x:v>
      </x:c>
      <x:c r="L123" s="182" t="n">
        <x:v>28</x:v>
      </x:c>
      <x:c r="M123" s="182" t="str">
        <x:f>IF('Stationen Abfrage dataprocessor'!$K$28="","",'Stationen Abfrage dataprocessor'!$K$28)</x:f>
      </x:c>
      <x:c r="N123" s="182" t="str">
        <x:f>Definitionen!$B$2</x:f>
        <x:v>IP-COHORT-2026-10-28-01</x:v>
      </x:c>
    </x:row>
    <x:row r="124" ht="30" customHeight="1">
      <x:c r="A124" s="182" t="str">
        <x:f>'Stationen Abfrage dataprocessor'!$A$28</x:f>
        <x:v>UK Erlangen</x:v>
      </x:c>
      <x:c r="B124" s="182" t="str">
        <x:f>'Stationen Abfrage dataprocessor'!$D$28</x:f>
        <x:v>Kieferchirugie</x:v>
      </x:c>
      <x:c r="C124" s="182" t="str">
        <x:v>TRS</x:v>
      </x:c>
      <x:c r="D124" s="182" t="str">
        <x:f>'Stationen Abfrage dataprocessor'!$Q$28</x:f>
        <x:v>ja</x:v>
      </x:c>
      <x:c r="E124" s="189" t="n">
        <x:f>IF(G124="definiert",'Stationen Abfrage dataprocessor'!$E$28,"")</x:f>
        <x:v>45810</x:v>
      </x:c>
      <x:c r="F124" s="189" t="n">
        <x:f>IF(G124="definiert",'Stationen Abfrage dataprocessor'!$H$28+1,"")</x:f>
        <x:v>46210</x:v>
      </x:c>
      <x:c r="G124" s="182" t="str">
        <x:f>IF(D124="nein","nicht_anwendbar",IF(D124&lt;&gt;"ja","Konfiguration fehlt",IF(OR(NOT(ISNUMBER('Stationen Abfrage dataprocessor'!$E$28)),NOT(ISNUMBER('Stationen Abfrage dataprocessor'!$H$28))),"Konfiguration fehlt",IF(('Stationen Abfrage dataprocessor'!$H$28+1)&lt;=('Stationen Abfrage dataprocessor'!$E$28),"kein_beobachtetes_fenster","definiert"))))</x:f>
        <x:v>definiert</x:v>
      </x:c>
      <x:c r="H124" s="182" t="str">
        <x:v>ja</x:v>
      </x:c>
      <x:c r="I124" s="182" t="str">
        <x:v>nein</x:v>
      </x:c>
      <x:c r="J124" s="182" t="str">
        <x:f>"nicht Voraussetzung"</x:f>
        <x:v>nicht Voraussetzung</x:v>
      </x:c>
      <x:c r="K124" s="190" t="n">
        <x:f>IF(G124="definiert",F124-E124,"")</x:f>
        <x:v>400</x:v>
      </x:c>
      <x:c r="L124" s="182" t="n">
        <x:v>28</x:v>
      </x:c>
      <x:c r="M124" s="182" t="str">
        <x:f>IF('Stationen Abfrage dataprocessor'!$K$28="","",'Stationen Abfrage dataprocessor'!$K$28)</x:f>
      </x:c>
      <x:c r="N124" s="182" t="str">
        <x:f>Definitionen!$B$2</x:f>
        <x:v>IP-COHORT-2026-10-28-01</x:v>
      </x:c>
    </x:row>
    <x:row r="125" ht="30" customHeight="1">
      <x:c r="A125" s="182" t="str">
        <x:f>'Stationen Abfrage dataprocessor'!$A$29</x:f>
        <x:v>UK Erlangen</x:v>
      </x:c>
      <x:c r="B125" s="182" t="str">
        <x:f>'Stationen Abfrage dataprocessor'!$D$29</x:f>
        <x:v>Hämatoonkologie</x:v>
      </x:c>
      <x:c r="C125" s="182" t="str">
        <x:v>BS</x:v>
      </x:c>
      <x:c r="D125" s="182" t="str">
        <x:f>'Stationen Abfrage dataprocessor'!$M$29</x:f>
        <x:v>ja</x:v>
      </x:c>
      <x:c r="E125" s="189" t="n">
        <x:f>IF(G125="definiert",'Stationen Abfrage dataprocessor'!$E$29,"")</x:f>
        <x:v>45838</x:v>
      </x:c>
      <x:c r="F125" s="189" t="n">
        <x:f>IF(G125="definiert",IF('Stationen Abfrage dataprocessor'!$T$29="Studienende",'Stationen Abfrage dataprocessor'!$H$29+1,MIN('Stationen Abfrage dataprocessor'!$F$29,'Stationen Abfrage dataprocessor'!$H$29+1)),"")</x:f>
        <x:v>46017</x:v>
      </x:c>
      <x:c r="G125" s="182" t="str">
        <x:f>IF(D125="nein","nicht_anwendbar",IF(D125&lt;&gt;"ja","Konfiguration fehlt",IF(OR(NOT(ISNUMBER('Stationen Abfrage dataprocessor'!$E$29)),NOT(ISNUMBER('Stationen Abfrage dataprocessor'!$H$29)),AND('Stationen Abfrage dataprocessor'!$T$29&lt;&gt;"Phasengrenze",'Stationen Abfrage dataprocessor'!$T$29&lt;&gt;"Studienende"),AND('Stationen Abfrage dataprocessor'!$T$29="Phasengrenze",NOT(ISNUMBER('Stationen Abfrage dataprocessor'!$F$29)))),"Konfiguration fehlt",IF((IF('Stationen Abfrage dataprocessor'!$T$29="Studienende",'Stationen Abfrage dataprocessor'!$H$29+1,MIN('Stationen Abfrage dataprocessor'!$F$29,'Stationen Abfrage dataprocessor'!$H$29+1)))&lt;=('Stationen Abfrage dataprocessor'!$E$29),"kein_beobachtetes_fenster","definiert"))))</x:f>
        <x:v>definiert</x:v>
      </x:c>
      <x:c r="H125" s="182" t="str">
        <x:v>nein</x:v>
      </x:c>
      <x:c r="I125" s="182" t="str">
        <x:v>nein</x:v>
      </x:c>
      <x:c r="J125" s="182" t="str">
        <x:f>"nicht Voraussetzung"</x:f>
        <x:v>nicht Voraussetzung</x:v>
      </x:c>
      <x:c r="K125" s="190" t="n">
        <x:f>IF(G125="definiert",F125-E125,"")</x:f>
        <x:v>179</x:v>
      </x:c>
      <x:c r="L125" s="182" t="n">
        <x:v>29</x:v>
      </x:c>
      <x:c r="M125" s="182" t="str">
        <x:f>IF('Stationen Abfrage dataprocessor'!$K$29="","",'Stationen Abfrage dataprocessor'!$K$29)</x:f>
      </x:c>
      <x:c r="N125" s="182" t="str">
        <x:f>Definitionen!$B$2</x:f>
        <x:v>IP-COHORT-2026-10-28-01</x:v>
      </x:c>
    </x:row>
    <x:row r="126" ht="30" customHeight="1">
      <x:c r="A126" s="182" t="str">
        <x:f>'Stationen Abfrage dataprocessor'!$A$29</x:f>
        <x:v>UK Erlangen</x:v>
      </x:c>
      <x:c r="B126" s="182" t="str">
        <x:f>'Stationen Abfrage dataprocessor'!$D$29</x:f>
        <x:v>Hämatoonkologie</x:v>
      </x:c>
      <x:c r="C126" s="182" t="str">
        <x:v>CRS-A</x:v>
      </x:c>
      <x:c r="D126" s="182" t="str">
        <x:f>'Stationen Abfrage dataprocessor'!$N$29</x:f>
        <x:v>ja</x:v>
      </x:c>
      <x:c r="E126" s="189" t="n">
        <x:f>IF(G126="definiert",MAX('Stationen Abfrage dataprocessor'!$E$29,'Stationen Abfrage dataprocessor'!$F$29),"")</x:f>
        <x:v>46017</x:v>
      </x:c>
      <x:c r="F126" s="189" t="n">
        <x:f>IF(G126="definiert",MIN('Stationen Abfrage dataprocessor'!$G$29,'Stationen Abfrage dataprocessor'!$H$29+1),"")</x:f>
        <x:v>46157</x:v>
      </x:c>
      <x:c r="G126" s="182" t="str">
        <x:f>IF(D126="nein","nicht_anwendbar",IF(D126&lt;&gt;"ja","Konfiguration fehlt",IF(OR(NOT(ISNUMBER('Stationen Abfrage dataprocessor'!$E$29)),NOT(ISNUMBER('Stationen Abfrage dataprocessor'!$F$29)),NOT(ISNUMBER('Stationen Abfrage dataprocessor'!$G$29)),NOT(ISNUMBER('Stationen Abfrage dataprocessor'!$H$29))),"Konfiguration fehlt",IF((MIN('Stationen Abfrage dataprocessor'!$G$29,'Stationen Abfrage dataprocessor'!$H$29+1))&lt;=(MAX('Stationen Abfrage dataprocessor'!$E$29,'Stationen Abfrage dataprocessor'!$F$29)),"kein_beobachtetes_fenster","definiert"))))</x:f>
        <x:v>definiert</x:v>
      </x:c>
      <x:c r="H126" s="182" t="str">
        <x:v>nein</x:v>
      </x:c>
      <x:c r="I126" s="182" t="str">
        <x:v>nein</x:v>
      </x:c>
      <x:c r="J126" s="182" t="str">
        <x:f>"nicht Voraussetzung"</x:f>
        <x:v>nicht Voraussetzung</x:v>
      </x:c>
      <x:c r="K126" s="190" t="n">
        <x:f>IF(G126="definiert",F126-E126,"")</x:f>
        <x:v>140</x:v>
      </x:c>
      <x:c r="L126" s="182" t="n">
        <x:v>29</x:v>
      </x:c>
      <x:c r="M126" s="182" t="str">
        <x:f>IF('Stationen Abfrage dataprocessor'!$K$29="","",'Stationen Abfrage dataprocessor'!$K$29)</x:f>
      </x:c>
      <x:c r="N126" s="182" t="str">
        <x:f>Definitionen!$B$2</x:f>
        <x:v>IP-COHORT-2026-10-28-01</x:v>
      </x:c>
    </x:row>
    <x:row r="127" ht="30" customHeight="1">
      <x:c r="A127" s="182" t="str">
        <x:f>'Stationen Abfrage dataprocessor'!$A$29</x:f>
        <x:v>UK Erlangen</x:v>
      </x:c>
      <x:c r="B127" s="182" t="str">
        <x:f>'Stationen Abfrage dataprocessor'!$D$29</x:f>
        <x:v>Hämatoonkologie</x:v>
      </x:c>
      <x:c r="C127" s="182" t="str">
        <x:v>CRS-B</x:v>
      </x:c>
      <x:c r="D127" s="182" t="str">
        <x:f>'Stationen Abfrage dataprocessor'!$O$29</x:f>
        <x:v>ja</x:v>
      </x:c>
      <x:c r="E127" s="189" t="n">
        <x:f>IF(G127="definiert",MAX('Stationen Abfrage dataprocessor'!$E$29,'Stationen Abfrage dataprocessor'!$G$29),"")</x:f>
        <x:v>46157</x:v>
      </x:c>
      <x:c r="F127" s="189" t="n">
        <x:f>IF(G127="definiert",'Stationen Abfrage dataprocessor'!$H$29+1,"")</x:f>
        <x:v>46210</x:v>
      </x:c>
      <x:c r="G127" s="182" t="str">
        <x:f>IF(D127="nein","nicht_anwendbar",IF(D127&lt;&gt;"ja","Konfiguration fehlt",IF(OR(NOT(ISNUMBER('Stationen Abfrage dataprocessor'!$E$29)),NOT(ISNUMBER('Stationen Abfrage dataprocessor'!$G$29)),NOT(ISNUMBER('Stationen Abfrage dataprocessor'!$H$29))),"Konfiguration fehlt",IF(('Stationen Abfrage dataprocessor'!$H$29+1)&lt;=(MAX('Stationen Abfrage dataprocessor'!$E$29,'Stationen Abfrage dataprocessor'!$G$29)),"kein_beobachtetes_fenster","definiert"))))</x:f>
        <x:v>definiert</x:v>
      </x:c>
      <x:c r="H127" s="182" t="str">
        <x:v>nein</x:v>
      </x:c>
      <x:c r="I127" s="182" t="str">
        <x:v>nein</x:v>
      </x:c>
      <x:c r="J127" s="182" t="str">
        <x:f>'Stationen Abfrage dataprocessor'!$S$29</x:f>
        <x:v>fallbezogen prüfen</x:v>
      </x:c>
      <x:c r="K127" s="190" t="n">
        <x:f>IF(G127="definiert",F127-E127,"")</x:f>
        <x:v>53</x:v>
      </x:c>
      <x:c r="L127" s="182" t="n">
        <x:v>29</x:v>
      </x:c>
      <x:c r="M127" s="182" t="str">
        <x:f>IF('Stationen Abfrage dataprocessor'!$K$29="","",'Stationen Abfrage dataprocessor'!$K$29)</x:f>
      </x:c>
      <x:c r="N127" s="182" t="str">
        <x:f>Definitionen!$B$2</x:f>
        <x:v>IP-COHORT-2026-10-28-01</x:v>
      </x:c>
    </x:row>
    <x:row r="128" ht="30" customHeight="1">
      <x:c r="A128" s="182" t="str">
        <x:f>'Stationen Abfrage dataprocessor'!$A$29</x:f>
        <x:v>UK Erlangen</x:v>
      </x:c>
      <x:c r="B128" s="182" t="str">
        <x:f>'Stationen Abfrage dataprocessor'!$D$29</x:f>
        <x:v>Hämatoonkologie</x:v>
      </x:c>
      <x:c r="C128" s="182" t="str">
        <x:v>RES</x:v>
      </x:c>
      <x:c r="D128" s="182" t="str">
        <x:f>'Stationen Abfrage dataprocessor'!$P$29</x:f>
        <x:v>ja</x:v>
      </x:c>
      <x:c r="E128" s="189" t="n">
        <x:f>IF(G128="definiert",MAX('Stationen Abfrage dataprocessor'!$E$29,'Stationen Abfrage dataprocessor'!$G$29),"")</x:f>
        <x:v>46157</x:v>
      </x:c>
      <x:c r="F128" s="189" t="n">
        <x:f>IF(G128="definiert",'Stationen Abfrage dataprocessor'!$H$29+1,"")</x:f>
        <x:v>46210</x:v>
      </x:c>
      <x:c r="G128" s="182" t="str">
        <x:f>IF(D128="nein","nicht_anwendbar",IF(D128&lt;&gt;"ja","Konfiguration fehlt",IF(OR(NOT(ISNUMBER('Stationen Abfrage dataprocessor'!$E$29)),NOT(ISNUMBER('Stationen Abfrage dataprocessor'!$G$29)),NOT(ISNUMBER('Stationen Abfrage dataprocessor'!$H$29))),"Konfiguration fehlt",IF(('Stationen Abfrage dataprocessor'!$H$29+1)&lt;=(MAX('Stationen Abfrage dataprocessor'!$E$29,'Stationen Abfrage dataprocessor'!$G$29)),"kein_beobachtetes_fenster","definiert"))))</x:f>
        <x:v>definiert</x:v>
      </x:c>
      <x:c r="H128" s="182" t="str">
        <x:v>ja</x:v>
      </x:c>
      <x:c r="I128" s="182" t="str">
        <x:v>ja</x:v>
      </x:c>
      <x:c r="J128" s="182" t="str">
        <x:f>'Stationen Abfrage dataprocessor'!$S$29</x:f>
        <x:v>fallbezogen prüfen</x:v>
      </x:c>
      <x:c r="K128" s="190" t="n">
        <x:f>IF(G128="definiert",F128-E128,"")</x:f>
        <x:v>53</x:v>
      </x:c>
      <x:c r="L128" s="182" t="n">
        <x:v>29</x:v>
      </x:c>
      <x:c r="M128" s="182" t="str">
        <x:f>IF('Stationen Abfrage dataprocessor'!$K$29="","",'Stationen Abfrage dataprocessor'!$K$29)</x:f>
      </x:c>
      <x:c r="N128" s="182" t="str">
        <x:f>Definitionen!$B$2</x:f>
        <x:v>IP-COHORT-2026-10-28-01</x:v>
      </x:c>
    </x:row>
    <x:row r="129" ht="30" customHeight="1">
      <x:c r="A129" s="182" t="str">
        <x:f>'Stationen Abfrage dataprocessor'!$A$29</x:f>
        <x:v>UK Erlangen</x:v>
      </x:c>
      <x:c r="B129" s="182" t="str">
        <x:f>'Stationen Abfrage dataprocessor'!$D$29</x:f>
        <x:v>Hämatoonkologie</x:v>
      </x:c>
      <x:c r="C129" s="182" t="str">
        <x:v>TRS</x:v>
      </x:c>
      <x:c r="D129" s="182" t="str">
        <x:f>'Stationen Abfrage dataprocessor'!$Q$29</x:f>
        <x:v>ja</x:v>
      </x:c>
      <x:c r="E129" s="189" t="n">
        <x:f>IF(G129="definiert",'Stationen Abfrage dataprocessor'!$E$29,"")</x:f>
        <x:v>45838</x:v>
      </x:c>
      <x:c r="F129" s="189" t="n">
        <x:f>IF(G129="definiert",'Stationen Abfrage dataprocessor'!$H$29+1,"")</x:f>
        <x:v>46210</x:v>
      </x:c>
      <x:c r="G129" s="182" t="str">
        <x:f>IF(D129="nein","nicht_anwendbar",IF(D129&lt;&gt;"ja","Konfiguration fehlt",IF(OR(NOT(ISNUMBER('Stationen Abfrage dataprocessor'!$E$29)),NOT(ISNUMBER('Stationen Abfrage dataprocessor'!$H$29))),"Konfiguration fehlt",IF(('Stationen Abfrage dataprocessor'!$H$29+1)&lt;=('Stationen Abfrage dataprocessor'!$E$29),"kein_beobachtetes_fenster","definiert"))))</x:f>
        <x:v>definiert</x:v>
      </x:c>
      <x:c r="H129" s="182" t="str">
        <x:v>ja</x:v>
      </x:c>
      <x:c r="I129" s="182" t="str">
        <x:v>nein</x:v>
      </x:c>
      <x:c r="J129" s="182" t="str">
        <x:f>"nicht Voraussetzung"</x:f>
        <x:v>nicht Voraussetzung</x:v>
      </x:c>
      <x:c r="K129" s="190" t="n">
        <x:f>IF(G129="definiert",F129-E129,"")</x:f>
        <x:v>372</x:v>
      </x:c>
      <x:c r="L129" s="182" t="n">
        <x:v>29</x:v>
      </x:c>
      <x:c r="M129" s="182" t="str">
        <x:f>IF('Stationen Abfrage dataprocessor'!$K$29="","",'Stationen Abfrage dataprocessor'!$K$29)</x:f>
      </x:c>
      <x:c r="N129" s="182" t="str">
        <x:f>Definitionen!$B$2</x:f>
        <x:v>IP-COHORT-2026-10-28-01</x:v>
      </x:c>
    </x:row>
    <x:row r="130" ht="30" customHeight="1">
      <x:c r="A130" s="182" t="str">
        <x:f>'Stationen Abfrage dataprocessor'!$A$30</x:f>
        <x:v>UM Essen</x:v>
      </x:c>
      <x:c r="B130" s="182" t="str">
        <x:f>'Stationen Abfrage dataprocessor'!$D$30</x:f>
        <x:v>WTZ 2</x:v>
      </x:c>
      <x:c r="C130" s="182" t="str">
        <x:v>BS</x:v>
      </x:c>
      <x:c r="D130" s="182" t="str">
        <x:f>'Stationen Abfrage dataprocessor'!$M$30</x:f>
        <x:v>ja</x:v>
      </x:c>
      <x:c r="E130" s="189" t="n">
        <x:f>IF(G130="definiert",'Stationen Abfrage dataprocessor'!$E$30,"")</x:f>
        <x:v>45922</x:v>
      </x:c>
      <x:c r="F130" s="189" t="n">
        <x:f>IF(G130="definiert",IF('Stationen Abfrage dataprocessor'!$T$30="Studienende",'Stationen Abfrage dataprocessor'!$H$30+1,MIN('Stationen Abfrage dataprocessor'!$F$30,'Stationen Abfrage dataprocessor'!$H$30+1)),"")</x:f>
        <x:v>46052</x:v>
      </x:c>
      <x:c r="G130" s="182" t="str">
        <x:f>IF(D130="nein","nicht_anwendbar",IF(D130&lt;&gt;"ja","Konfiguration fehlt",IF(OR(NOT(ISNUMBER('Stationen Abfrage dataprocessor'!$E$30)),NOT(ISNUMBER('Stationen Abfrage dataprocessor'!$H$30)),AND('Stationen Abfrage dataprocessor'!$T$30&lt;&gt;"Phasengrenze",'Stationen Abfrage dataprocessor'!$T$30&lt;&gt;"Studienende"),AND('Stationen Abfrage dataprocessor'!$T$30="Phasengrenze",NOT(ISNUMBER('Stationen Abfrage dataprocessor'!$F$30)))),"Konfiguration fehlt",IF((IF('Stationen Abfrage dataprocessor'!$T$30="Studienende",'Stationen Abfrage dataprocessor'!$H$30+1,MIN('Stationen Abfrage dataprocessor'!$F$30,'Stationen Abfrage dataprocessor'!$H$30+1)))&lt;=('Stationen Abfrage dataprocessor'!$E$30),"kein_beobachtetes_fenster","definiert"))))</x:f>
        <x:v>definiert</x:v>
      </x:c>
      <x:c r="H130" s="182" t="str">
        <x:v>nein</x:v>
      </x:c>
      <x:c r="I130" s="182" t="str">
        <x:v>nein</x:v>
      </x:c>
      <x:c r="J130" s="182" t="str">
        <x:f>"nicht Voraussetzung"</x:f>
        <x:v>nicht Voraussetzung</x:v>
      </x:c>
      <x:c r="K130" s="190" t="n">
        <x:f>IF(G130="definiert",F130-E130,"")</x:f>
        <x:v>130</x:v>
      </x:c>
      <x:c r="L130" s="182" t="n">
        <x:v>30</x:v>
      </x:c>
      <x:c r="M130" s="182" t="str">
        <x:f>IF('Stationen Abfrage dataprocessor'!$K$30="","",'Stationen Abfrage dataprocessor'!$K$30)</x:f>
      </x:c>
      <x:c r="N130" s="182" t="str">
        <x:f>Definitionen!$B$2</x:f>
        <x:v>IP-COHORT-2026-10-28-01</x:v>
      </x:c>
    </x:row>
    <x:row r="131" ht="30" customHeight="1">
      <x:c r="A131" s="182" t="str">
        <x:f>'Stationen Abfrage dataprocessor'!$A$30</x:f>
        <x:v>UM Essen</x:v>
      </x:c>
      <x:c r="B131" s="182" t="str">
        <x:f>'Stationen Abfrage dataprocessor'!$D$30</x:f>
        <x:v>WTZ 2</x:v>
      </x:c>
      <x:c r="C131" s="182" t="str">
        <x:v>CRS-A</x:v>
      </x:c>
      <x:c r="D131" s="182" t="str">
        <x:f>'Stationen Abfrage dataprocessor'!$N$30</x:f>
        <x:v>ja</x:v>
      </x:c>
      <x:c r="E131" s="189" t="n">
        <x:f>IF(G131="definiert",MAX('Stationen Abfrage dataprocessor'!$E$30,'Stationen Abfrage dataprocessor'!$F$30),"")</x:f>
        <x:v>46052</x:v>
      </x:c>
      <x:c r="F131" s="189" t="n">
        <x:f>IF(G131="definiert",MIN('Stationen Abfrage dataprocessor'!$G$30,'Stationen Abfrage dataprocessor'!$H$30+1),"")</x:f>
        <x:v>46080</x:v>
      </x:c>
      <x:c r="G131" s="182" t="str">
        <x:f>IF(D131="nein","nicht_anwendbar",IF(D131&lt;&gt;"ja","Konfiguration fehlt",IF(OR(NOT(ISNUMBER('Stationen Abfrage dataprocessor'!$E$30)),NOT(ISNUMBER('Stationen Abfrage dataprocessor'!$F$30)),NOT(ISNUMBER('Stationen Abfrage dataprocessor'!$G$30)),NOT(ISNUMBER('Stationen Abfrage dataprocessor'!$H$30))),"Konfiguration fehlt",IF((MIN('Stationen Abfrage dataprocessor'!$G$30,'Stationen Abfrage dataprocessor'!$H$30+1))&lt;=(MAX('Stationen Abfrage dataprocessor'!$E$30,'Stationen Abfrage dataprocessor'!$F$30)),"kein_beobachtetes_fenster","definiert"))))</x:f>
        <x:v>definiert</x:v>
      </x:c>
      <x:c r="H131" s="182" t="str">
        <x:v>nein</x:v>
      </x:c>
      <x:c r="I131" s="182" t="str">
        <x:v>nein</x:v>
      </x:c>
      <x:c r="J131" s="182" t="str">
        <x:f>"nicht Voraussetzung"</x:f>
        <x:v>nicht Voraussetzung</x:v>
      </x:c>
      <x:c r="K131" s="190" t="n">
        <x:f>IF(G131="definiert",F131-E131,"")</x:f>
        <x:v>28</x:v>
      </x:c>
      <x:c r="L131" s="182" t="n">
        <x:v>30</x:v>
      </x:c>
      <x:c r="M131" s="182" t="str">
        <x:f>IF('Stationen Abfrage dataprocessor'!$K$30="","",'Stationen Abfrage dataprocessor'!$K$30)</x:f>
      </x:c>
      <x:c r="N131" s="182" t="str">
        <x:f>Definitionen!$B$2</x:f>
        <x:v>IP-COHORT-2026-10-28-01</x:v>
      </x:c>
    </x:row>
    <x:row r="132" ht="30" customHeight="1">
      <x:c r="A132" s="182" t="str">
        <x:f>'Stationen Abfrage dataprocessor'!$A$30</x:f>
        <x:v>UM Essen</x:v>
      </x:c>
      <x:c r="B132" s="182" t="str">
        <x:f>'Stationen Abfrage dataprocessor'!$D$30</x:f>
        <x:v>WTZ 2</x:v>
      </x:c>
      <x:c r="C132" s="182" t="str">
        <x:v>CRS-B</x:v>
      </x:c>
      <x:c r="D132" s="182" t="str">
        <x:f>'Stationen Abfrage dataprocessor'!$O$30</x:f>
        <x:v>ja</x:v>
      </x:c>
      <x:c r="E132" s="189" t="n">
        <x:f>IF(G132="definiert",MAX('Stationen Abfrage dataprocessor'!$E$30,'Stationen Abfrage dataprocessor'!$G$30),"")</x:f>
        <x:v>46080</x:v>
      </x:c>
      <x:c r="F132" s="189" t="n">
        <x:f>IF(G132="definiert",'Stationen Abfrage dataprocessor'!$H$30+1,"")</x:f>
        <x:v>46266</x:v>
      </x:c>
      <x:c r="G132" s="182" t="str">
        <x:f>IF(D132="nein","nicht_anwendbar",IF(D132&lt;&gt;"ja","Konfiguration fehlt",IF(OR(NOT(ISNUMBER('Stationen Abfrage dataprocessor'!$E$30)),NOT(ISNUMBER('Stationen Abfrage dataprocessor'!$G$30)),NOT(ISNUMBER('Stationen Abfrage dataprocessor'!$H$30))),"Konfiguration fehlt",IF(('Stationen Abfrage dataprocessor'!$H$30+1)&lt;=(MAX('Stationen Abfrage dataprocessor'!$E$30,'Stationen Abfrage dataprocessor'!$G$30)),"kein_beobachtetes_fenster","definiert"))))</x:f>
        <x:v>definiert</x:v>
      </x:c>
      <x:c r="H132" s="182" t="str">
        <x:v>nein</x:v>
      </x:c>
      <x:c r="I132" s="182" t="str">
        <x:v>nein</x:v>
      </x:c>
      <x:c r="J132" s="182" t="str">
        <x:f>'Stationen Abfrage dataprocessor'!$S$30</x:f>
        <x:v>fallbezogen prüfen</x:v>
      </x:c>
      <x:c r="K132" s="190" t="n">
        <x:f>IF(G132="definiert",F132-E132,"")</x:f>
        <x:v>186</x:v>
      </x:c>
      <x:c r="L132" s="182" t="n">
        <x:v>30</x:v>
      </x:c>
      <x:c r="M132" s="182" t="str">
        <x:f>IF('Stationen Abfrage dataprocessor'!$K$30="","",'Stationen Abfrage dataprocessor'!$K$30)</x:f>
      </x:c>
      <x:c r="N132" s="182" t="str">
        <x:f>Definitionen!$B$2</x:f>
        <x:v>IP-COHORT-2026-10-28-01</x:v>
      </x:c>
    </x:row>
    <x:row r="133" ht="30" customHeight="1">
      <x:c r="A133" s="182" t="str">
        <x:f>'Stationen Abfrage dataprocessor'!$A$30</x:f>
        <x:v>UM Essen</x:v>
      </x:c>
      <x:c r="B133" s="182" t="str">
        <x:f>'Stationen Abfrage dataprocessor'!$D$30</x:f>
        <x:v>WTZ 2</x:v>
      </x:c>
      <x:c r="C133" s="182" t="str">
        <x:v>RES</x:v>
      </x:c>
      <x:c r="D133" s="182" t="str">
        <x:f>'Stationen Abfrage dataprocessor'!$P$30</x:f>
        <x:v>ja</x:v>
      </x:c>
      <x:c r="E133" s="189" t="n">
        <x:f>IF(G133="definiert",MAX('Stationen Abfrage dataprocessor'!$E$30,'Stationen Abfrage dataprocessor'!$G$30),"")</x:f>
        <x:v>46080</x:v>
      </x:c>
      <x:c r="F133" s="189" t="n">
        <x:f>IF(G133="definiert",'Stationen Abfrage dataprocessor'!$H$30+1,"")</x:f>
        <x:v>46266</x:v>
      </x:c>
      <x:c r="G133" s="182" t="str">
        <x:f>IF(D133="nein","nicht_anwendbar",IF(D133&lt;&gt;"ja","Konfiguration fehlt",IF(OR(NOT(ISNUMBER('Stationen Abfrage dataprocessor'!$E$30)),NOT(ISNUMBER('Stationen Abfrage dataprocessor'!$G$30)),NOT(ISNUMBER('Stationen Abfrage dataprocessor'!$H$30))),"Konfiguration fehlt",IF(('Stationen Abfrage dataprocessor'!$H$30+1)&lt;=(MAX('Stationen Abfrage dataprocessor'!$E$30,'Stationen Abfrage dataprocessor'!$G$30)),"kein_beobachtetes_fenster","definiert"))))</x:f>
        <x:v>definiert</x:v>
      </x:c>
      <x:c r="H133" s="182" t="str">
        <x:v>ja</x:v>
      </x:c>
      <x:c r="I133" s="182" t="str">
        <x:v>ja</x:v>
      </x:c>
      <x:c r="J133" s="182" t="str">
        <x:f>'Stationen Abfrage dataprocessor'!$S$30</x:f>
        <x:v>fallbezogen prüfen</x:v>
      </x:c>
      <x:c r="K133" s="190" t="n">
        <x:f>IF(G133="definiert",F133-E133,"")</x:f>
        <x:v>186</x:v>
      </x:c>
      <x:c r="L133" s="182" t="n">
        <x:v>30</x:v>
      </x:c>
      <x:c r="M133" s="182" t="str">
        <x:f>IF('Stationen Abfrage dataprocessor'!$K$30="","",'Stationen Abfrage dataprocessor'!$K$30)</x:f>
      </x:c>
      <x:c r="N133" s="182" t="str">
        <x:f>Definitionen!$B$2</x:f>
        <x:v>IP-COHORT-2026-10-28-01</x:v>
      </x:c>
    </x:row>
    <x:row r="134" ht="30" customHeight="1">
      <x:c r="A134" s="182" t="str">
        <x:f>'Stationen Abfrage dataprocessor'!$A$30</x:f>
        <x:v>UM Essen</x:v>
      </x:c>
      <x:c r="B134" s="182" t="str">
        <x:f>'Stationen Abfrage dataprocessor'!$D$30</x:f>
        <x:v>WTZ 2</x:v>
      </x:c>
      <x:c r="C134" s="182" t="str">
        <x:v>TRS</x:v>
      </x:c>
      <x:c r="D134" s="182" t="str">
        <x:f>'Stationen Abfrage dataprocessor'!$Q$30</x:f>
        <x:v>ja</x:v>
      </x:c>
      <x:c r="E134" s="189" t="n">
        <x:f>IF(G134="definiert",'Stationen Abfrage dataprocessor'!$E$30,"")</x:f>
        <x:v>45922</x:v>
      </x:c>
      <x:c r="F134" s="189" t="n">
        <x:f>IF(G134="definiert",'Stationen Abfrage dataprocessor'!$H$30+1,"")</x:f>
        <x:v>46266</x:v>
      </x:c>
      <x:c r="G134" s="182" t="str">
        <x:f>IF(D134="nein","nicht_anwendbar",IF(D134&lt;&gt;"ja","Konfiguration fehlt",IF(OR(NOT(ISNUMBER('Stationen Abfrage dataprocessor'!$E$30)),NOT(ISNUMBER('Stationen Abfrage dataprocessor'!$H$30))),"Konfiguration fehlt",IF(('Stationen Abfrage dataprocessor'!$H$30+1)&lt;=('Stationen Abfrage dataprocessor'!$E$30),"kein_beobachtetes_fenster","definiert"))))</x:f>
        <x:v>definiert</x:v>
      </x:c>
      <x:c r="H134" s="182" t="str">
        <x:v>ja</x:v>
      </x:c>
      <x:c r="I134" s="182" t="str">
        <x:v>nein</x:v>
      </x:c>
      <x:c r="J134" s="182" t="str">
        <x:f>"nicht Voraussetzung"</x:f>
        <x:v>nicht Voraussetzung</x:v>
      </x:c>
      <x:c r="K134" s="190" t="n">
        <x:f>IF(G134="definiert",F134-E134,"")</x:f>
        <x:v>344</x:v>
      </x:c>
      <x:c r="L134" s="182" t="n">
        <x:v>30</x:v>
      </x:c>
      <x:c r="M134" s="182" t="str">
        <x:f>IF('Stationen Abfrage dataprocessor'!$K$30="","",'Stationen Abfrage dataprocessor'!$K$30)</x:f>
      </x:c>
      <x:c r="N134" s="182" t="str">
        <x:f>Definitionen!$B$2</x:f>
        <x:v>IP-COHORT-2026-10-28-01</x:v>
      </x:c>
    </x:row>
    <x:row r="135" ht="30" customHeight="1">
      <x:c r="A135" s="182" t="str">
        <x:f>'Stationen Abfrage dataprocessor'!$A$31</x:f>
        <x:v>UM Essen</x:v>
      </x:c>
      <x:c r="B135" s="182" t="str">
        <x:f>'Stationen Abfrage dataprocessor'!$D$31</x:f>
        <x:v>UC2.UC</x:v>
      </x:c>
      <x:c r="C135" s="182" t="str">
        <x:v>BS</x:v>
      </x:c>
      <x:c r="D135" s="182" t="str">
        <x:f>'Stationen Abfrage dataprocessor'!$M$31</x:f>
        <x:v>ja</x:v>
      </x:c>
      <x:c r="E135" s="189" t="n">
        <x:f>IF(G135="definiert",'Stationen Abfrage dataprocessor'!$E$31,"")</x:f>
        <x:v>45922</x:v>
      </x:c>
      <x:c r="F135" s="189" t="n">
        <x:f>IF(G135="definiert",IF('Stationen Abfrage dataprocessor'!$T$31="Studienende",'Stationen Abfrage dataprocessor'!$H$31+1,MIN('Stationen Abfrage dataprocessor'!$F$31,'Stationen Abfrage dataprocessor'!$H$31+1)),"")</x:f>
        <x:v>46052</x:v>
      </x:c>
      <x:c r="G135" s="182" t="str">
        <x:f>IF(D135="nein","nicht_anwendbar",IF(D135&lt;&gt;"ja","Konfiguration fehlt",IF(OR(NOT(ISNUMBER('Stationen Abfrage dataprocessor'!$E$31)),NOT(ISNUMBER('Stationen Abfrage dataprocessor'!$H$31)),AND('Stationen Abfrage dataprocessor'!$T$31&lt;&gt;"Phasengrenze",'Stationen Abfrage dataprocessor'!$T$31&lt;&gt;"Studienende"),AND('Stationen Abfrage dataprocessor'!$T$31="Phasengrenze",NOT(ISNUMBER('Stationen Abfrage dataprocessor'!$F$31)))),"Konfiguration fehlt",IF((IF('Stationen Abfrage dataprocessor'!$T$31="Studienende",'Stationen Abfrage dataprocessor'!$H$31+1,MIN('Stationen Abfrage dataprocessor'!$F$31,'Stationen Abfrage dataprocessor'!$H$31+1)))&lt;=('Stationen Abfrage dataprocessor'!$E$31),"kein_beobachtetes_fenster","definiert"))))</x:f>
        <x:v>definiert</x:v>
      </x:c>
      <x:c r="H135" s="182" t="str">
        <x:v>nein</x:v>
      </x:c>
      <x:c r="I135" s="182" t="str">
        <x:v>nein</x:v>
      </x:c>
      <x:c r="J135" s="182" t="str">
        <x:f>"nicht Voraussetzung"</x:f>
        <x:v>nicht Voraussetzung</x:v>
      </x:c>
      <x:c r="K135" s="190" t="n">
        <x:f>IF(G135="definiert",F135-E135,"")</x:f>
        <x:v>130</x:v>
      </x:c>
      <x:c r="L135" s="182" t="n">
        <x:v>31</x:v>
      </x:c>
      <x:c r="M135" s="182" t="str">
        <x:f>IF('Stationen Abfrage dataprocessor'!$K$31="","",'Stationen Abfrage dataprocessor'!$K$31)</x:f>
      </x:c>
      <x:c r="N135" s="182" t="str">
        <x:f>Definitionen!$B$2</x:f>
        <x:v>IP-COHORT-2026-10-28-01</x:v>
      </x:c>
    </x:row>
    <x:row r="136" ht="30" customHeight="1">
      <x:c r="A136" s="182" t="str">
        <x:f>'Stationen Abfrage dataprocessor'!$A$31</x:f>
        <x:v>UM Essen</x:v>
      </x:c>
      <x:c r="B136" s="182" t="str">
        <x:f>'Stationen Abfrage dataprocessor'!$D$31</x:f>
        <x:v>UC2.UC</x:v>
      </x:c>
      <x:c r="C136" s="182" t="str">
        <x:v>CRS-A</x:v>
      </x:c>
      <x:c r="D136" s="182" t="str">
        <x:f>'Stationen Abfrage dataprocessor'!$N$31</x:f>
        <x:v>ja</x:v>
      </x:c>
      <x:c r="E136" s="189" t="n">
        <x:f>IF(G136="definiert",MAX('Stationen Abfrage dataprocessor'!$E$31,'Stationen Abfrage dataprocessor'!$F$31),"")</x:f>
        <x:v>46052</x:v>
      </x:c>
      <x:c r="F136" s="189" t="n">
        <x:f>IF(G136="definiert",MIN('Stationen Abfrage dataprocessor'!$G$31,'Stationen Abfrage dataprocessor'!$H$31+1),"")</x:f>
        <x:v>46108</x:v>
      </x:c>
      <x:c r="G136" s="182" t="str">
        <x:f>IF(D136="nein","nicht_anwendbar",IF(D136&lt;&gt;"ja","Konfiguration fehlt",IF(OR(NOT(ISNUMBER('Stationen Abfrage dataprocessor'!$E$31)),NOT(ISNUMBER('Stationen Abfrage dataprocessor'!$F$31)),NOT(ISNUMBER('Stationen Abfrage dataprocessor'!$G$31)),NOT(ISNUMBER('Stationen Abfrage dataprocessor'!$H$31))),"Konfiguration fehlt",IF((MIN('Stationen Abfrage dataprocessor'!$G$31,'Stationen Abfrage dataprocessor'!$H$31+1))&lt;=(MAX('Stationen Abfrage dataprocessor'!$E$31,'Stationen Abfrage dataprocessor'!$F$31)),"kein_beobachtetes_fenster","definiert"))))</x:f>
        <x:v>definiert</x:v>
      </x:c>
      <x:c r="H136" s="182" t="str">
        <x:v>nein</x:v>
      </x:c>
      <x:c r="I136" s="182" t="str">
        <x:v>nein</x:v>
      </x:c>
      <x:c r="J136" s="182" t="str">
        <x:f>"nicht Voraussetzung"</x:f>
        <x:v>nicht Voraussetzung</x:v>
      </x:c>
      <x:c r="K136" s="190" t="n">
        <x:f>IF(G136="definiert",F136-E136,"")</x:f>
        <x:v>56</x:v>
      </x:c>
      <x:c r="L136" s="182" t="n">
        <x:v>31</x:v>
      </x:c>
      <x:c r="M136" s="182" t="str">
        <x:f>IF('Stationen Abfrage dataprocessor'!$K$31="","",'Stationen Abfrage dataprocessor'!$K$31)</x:f>
      </x:c>
      <x:c r="N136" s="182" t="str">
        <x:f>Definitionen!$B$2</x:f>
        <x:v>IP-COHORT-2026-10-28-01</x:v>
      </x:c>
    </x:row>
    <x:row r="137" ht="30" customHeight="1">
      <x:c r="A137" s="182" t="str">
        <x:f>'Stationen Abfrage dataprocessor'!$A$31</x:f>
        <x:v>UM Essen</x:v>
      </x:c>
      <x:c r="B137" s="182" t="str">
        <x:f>'Stationen Abfrage dataprocessor'!$D$31</x:f>
        <x:v>UC2.UC</x:v>
      </x:c>
      <x:c r="C137" s="182" t="str">
        <x:v>CRS-B</x:v>
      </x:c>
      <x:c r="D137" s="182" t="str">
        <x:f>'Stationen Abfrage dataprocessor'!$O$31</x:f>
        <x:v>ja</x:v>
      </x:c>
      <x:c r="E137" s="189" t="n">
        <x:f>IF(G137="definiert",MAX('Stationen Abfrage dataprocessor'!$E$31,'Stationen Abfrage dataprocessor'!$G$31),"")</x:f>
        <x:v>46108</x:v>
      </x:c>
      <x:c r="F137" s="189" t="n">
        <x:f>IF(G137="definiert",'Stationen Abfrage dataprocessor'!$H$31+1,"")</x:f>
        <x:v>46266</x:v>
      </x:c>
      <x:c r="G137" s="182" t="str">
        <x:f>IF(D137="nein","nicht_anwendbar",IF(D137&lt;&gt;"ja","Konfiguration fehlt",IF(OR(NOT(ISNUMBER('Stationen Abfrage dataprocessor'!$E$31)),NOT(ISNUMBER('Stationen Abfrage dataprocessor'!$G$31)),NOT(ISNUMBER('Stationen Abfrage dataprocessor'!$H$31))),"Konfiguration fehlt",IF(('Stationen Abfrage dataprocessor'!$H$31+1)&lt;=(MAX('Stationen Abfrage dataprocessor'!$E$31,'Stationen Abfrage dataprocessor'!$G$31)),"kein_beobachtetes_fenster","definiert"))))</x:f>
        <x:v>definiert</x:v>
      </x:c>
      <x:c r="H137" s="182" t="str">
        <x:v>nein</x:v>
      </x:c>
      <x:c r="I137" s="182" t="str">
        <x:v>nein</x:v>
      </x:c>
      <x:c r="J137" s="182" t="str">
        <x:f>'Stationen Abfrage dataprocessor'!$S$31</x:f>
        <x:v>fallbezogen prüfen</x:v>
      </x:c>
      <x:c r="K137" s="190" t="n">
        <x:f>IF(G137="definiert",F137-E137,"")</x:f>
        <x:v>158</x:v>
      </x:c>
      <x:c r="L137" s="182" t="n">
        <x:v>31</x:v>
      </x:c>
      <x:c r="M137" s="182" t="str">
        <x:f>IF('Stationen Abfrage dataprocessor'!$K$31="","",'Stationen Abfrage dataprocessor'!$K$31)</x:f>
      </x:c>
      <x:c r="N137" s="182" t="str">
        <x:f>Definitionen!$B$2</x:f>
        <x:v>IP-COHORT-2026-10-28-01</x:v>
      </x:c>
    </x:row>
    <x:row r="138" ht="30" customHeight="1">
      <x:c r="A138" s="182" t="str">
        <x:f>'Stationen Abfrage dataprocessor'!$A$31</x:f>
        <x:v>UM Essen</x:v>
      </x:c>
      <x:c r="B138" s="182" t="str">
        <x:f>'Stationen Abfrage dataprocessor'!$D$31</x:f>
        <x:v>UC2.UC</x:v>
      </x:c>
      <x:c r="C138" s="182" t="str">
        <x:v>RES</x:v>
      </x:c>
      <x:c r="D138" s="182" t="str">
        <x:f>'Stationen Abfrage dataprocessor'!$P$31</x:f>
        <x:v>ja</x:v>
      </x:c>
      <x:c r="E138" s="189" t="n">
        <x:f>IF(G138="definiert",MAX('Stationen Abfrage dataprocessor'!$E$31,'Stationen Abfrage dataprocessor'!$G$31),"")</x:f>
        <x:v>46108</x:v>
      </x:c>
      <x:c r="F138" s="189" t="n">
        <x:f>IF(G138="definiert",'Stationen Abfrage dataprocessor'!$H$31+1,"")</x:f>
        <x:v>46266</x:v>
      </x:c>
      <x:c r="G138" s="182" t="str">
        <x:f>IF(D138="nein","nicht_anwendbar",IF(D138&lt;&gt;"ja","Konfiguration fehlt",IF(OR(NOT(ISNUMBER('Stationen Abfrage dataprocessor'!$E$31)),NOT(ISNUMBER('Stationen Abfrage dataprocessor'!$G$31)),NOT(ISNUMBER('Stationen Abfrage dataprocessor'!$H$31))),"Konfiguration fehlt",IF(('Stationen Abfrage dataprocessor'!$H$31+1)&lt;=(MAX('Stationen Abfrage dataprocessor'!$E$31,'Stationen Abfrage dataprocessor'!$G$31)),"kein_beobachtetes_fenster","definiert"))))</x:f>
        <x:v>definiert</x:v>
      </x:c>
      <x:c r="H138" s="182" t="str">
        <x:v>ja</x:v>
      </x:c>
      <x:c r="I138" s="182" t="str">
        <x:v>ja</x:v>
      </x:c>
      <x:c r="J138" s="182" t="str">
        <x:f>'Stationen Abfrage dataprocessor'!$S$31</x:f>
        <x:v>fallbezogen prüfen</x:v>
      </x:c>
      <x:c r="K138" s="190" t="n">
        <x:f>IF(G138="definiert",F138-E138,"")</x:f>
        <x:v>158</x:v>
      </x:c>
      <x:c r="L138" s="182" t="n">
        <x:v>31</x:v>
      </x:c>
      <x:c r="M138" s="182" t="str">
        <x:f>IF('Stationen Abfrage dataprocessor'!$K$31="","",'Stationen Abfrage dataprocessor'!$K$31)</x:f>
      </x:c>
      <x:c r="N138" s="182" t="str">
        <x:f>Definitionen!$B$2</x:f>
        <x:v>IP-COHORT-2026-10-28-01</x:v>
      </x:c>
    </x:row>
    <x:row r="139" ht="30" customHeight="1">
      <x:c r="A139" s="182" t="str">
        <x:f>'Stationen Abfrage dataprocessor'!$A$31</x:f>
        <x:v>UM Essen</x:v>
      </x:c>
      <x:c r="B139" s="182" t="str">
        <x:f>'Stationen Abfrage dataprocessor'!$D$31</x:f>
        <x:v>UC2.UC</x:v>
      </x:c>
      <x:c r="C139" s="182" t="str">
        <x:v>TRS</x:v>
      </x:c>
      <x:c r="D139" s="182" t="str">
        <x:f>'Stationen Abfrage dataprocessor'!$Q$31</x:f>
        <x:v>ja</x:v>
      </x:c>
      <x:c r="E139" s="189" t="n">
        <x:f>IF(G139="definiert",'Stationen Abfrage dataprocessor'!$E$31,"")</x:f>
        <x:v>45922</x:v>
      </x:c>
      <x:c r="F139" s="189" t="n">
        <x:f>IF(G139="definiert",'Stationen Abfrage dataprocessor'!$H$31+1,"")</x:f>
        <x:v>46266</x:v>
      </x:c>
      <x:c r="G139" s="182" t="str">
        <x:f>IF(D139="nein","nicht_anwendbar",IF(D139&lt;&gt;"ja","Konfiguration fehlt",IF(OR(NOT(ISNUMBER('Stationen Abfrage dataprocessor'!$E$31)),NOT(ISNUMBER('Stationen Abfrage dataprocessor'!$H$31))),"Konfiguration fehlt",IF(('Stationen Abfrage dataprocessor'!$H$31+1)&lt;=('Stationen Abfrage dataprocessor'!$E$31),"kein_beobachtetes_fenster","definiert"))))</x:f>
        <x:v>definiert</x:v>
      </x:c>
      <x:c r="H139" s="182" t="str">
        <x:v>ja</x:v>
      </x:c>
      <x:c r="I139" s="182" t="str">
        <x:v>nein</x:v>
      </x:c>
      <x:c r="J139" s="182" t="str">
        <x:f>"nicht Voraussetzung"</x:f>
        <x:v>nicht Voraussetzung</x:v>
      </x:c>
      <x:c r="K139" s="190" t="n">
        <x:f>IF(G139="definiert",F139-E139,"")</x:f>
        <x:v>344</x:v>
      </x:c>
      <x:c r="L139" s="182" t="n">
        <x:v>31</x:v>
      </x:c>
      <x:c r="M139" s="182" t="str">
        <x:f>IF('Stationen Abfrage dataprocessor'!$K$31="","",'Stationen Abfrage dataprocessor'!$K$31)</x:f>
      </x:c>
      <x:c r="N139" s="182" t="str">
        <x:f>Definitionen!$B$2</x:f>
        <x:v>IP-COHORT-2026-10-28-01</x:v>
      </x:c>
    </x:row>
    <x:row r="140" ht="30" customHeight="1">
      <x:c r="A140" s="182" t="str">
        <x:f>'Stationen Abfrage dataprocessor'!$A$32</x:f>
        <x:v>UM Essen</x:v>
      </x:c>
      <x:c r="B140" s="182" t="str">
        <x:f>'Stationen Abfrage dataprocessor'!$D$32</x:f>
        <x:v>NEURO1.NKL</x:v>
      </x:c>
      <x:c r="C140" s="182" t="str">
        <x:v>BS</x:v>
      </x:c>
      <x:c r="D140" s="182" t="str">
        <x:f>'Stationen Abfrage dataprocessor'!$M$32</x:f>
        <x:v>ja</x:v>
      </x:c>
      <x:c r="E140" s="189" t="n">
        <x:f>IF(G140="definiert",'Stationen Abfrage dataprocessor'!$E$32,"")</x:f>
        <x:v>45922</x:v>
      </x:c>
      <x:c r="F140" s="189" t="n">
        <x:f>IF(G140="definiert",IF('Stationen Abfrage dataprocessor'!$T$32="Studienende",'Stationen Abfrage dataprocessor'!$H$32+1,MIN('Stationen Abfrage dataprocessor'!$F$32,'Stationen Abfrage dataprocessor'!$H$32+1)),"")</x:f>
        <x:v>46052</x:v>
      </x:c>
      <x:c r="G140" s="182" t="str">
        <x:f>IF(D140="nein","nicht_anwendbar",IF(D140&lt;&gt;"ja","Konfiguration fehlt",IF(OR(NOT(ISNUMBER('Stationen Abfrage dataprocessor'!$E$32)),NOT(ISNUMBER('Stationen Abfrage dataprocessor'!$H$32)),AND('Stationen Abfrage dataprocessor'!$T$32&lt;&gt;"Phasengrenze",'Stationen Abfrage dataprocessor'!$T$32&lt;&gt;"Studienende"),AND('Stationen Abfrage dataprocessor'!$T$32="Phasengrenze",NOT(ISNUMBER('Stationen Abfrage dataprocessor'!$F$32)))),"Konfiguration fehlt",IF((IF('Stationen Abfrage dataprocessor'!$T$32="Studienende",'Stationen Abfrage dataprocessor'!$H$32+1,MIN('Stationen Abfrage dataprocessor'!$F$32,'Stationen Abfrage dataprocessor'!$H$32+1)))&lt;=('Stationen Abfrage dataprocessor'!$E$32),"kein_beobachtetes_fenster","definiert"))))</x:f>
        <x:v>definiert</x:v>
      </x:c>
      <x:c r="H140" s="182" t="str">
        <x:v>nein</x:v>
      </x:c>
      <x:c r="I140" s="182" t="str">
        <x:v>nein</x:v>
      </x:c>
      <x:c r="J140" s="182" t="str">
        <x:f>"nicht Voraussetzung"</x:f>
        <x:v>nicht Voraussetzung</x:v>
      </x:c>
      <x:c r="K140" s="190" t="n">
        <x:f>IF(G140="definiert",F140-E140,"")</x:f>
        <x:v>130</x:v>
      </x:c>
      <x:c r="L140" s="182" t="n">
        <x:v>32</x:v>
      </x:c>
      <x:c r="M140" s="182" t="str">
        <x:f>IF('Stationen Abfrage dataprocessor'!$K$32="","",'Stationen Abfrage dataprocessor'!$K$32)</x:f>
      </x:c>
      <x:c r="N140" s="182" t="str">
        <x:f>Definitionen!$B$2</x:f>
        <x:v>IP-COHORT-2026-10-28-01</x:v>
      </x:c>
    </x:row>
    <x:row r="141" ht="30" customHeight="1">
      <x:c r="A141" s="182" t="str">
        <x:f>'Stationen Abfrage dataprocessor'!$A$32</x:f>
        <x:v>UM Essen</x:v>
      </x:c>
      <x:c r="B141" s="182" t="str">
        <x:f>'Stationen Abfrage dataprocessor'!$D$32</x:f>
        <x:v>NEURO1.NKL</x:v>
      </x:c>
      <x:c r="C141" s="182" t="str">
        <x:v>CRS-A</x:v>
      </x:c>
      <x:c r="D141" s="182" t="str">
        <x:f>'Stationen Abfrage dataprocessor'!$N$32</x:f>
        <x:v>ja</x:v>
      </x:c>
      <x:c r="E141" s="189" t="n">
        <x:f>IF(G141="definiert",MAX('Stationen Abfrage dataprocessor'!$E$32,'Stationen Abfrage dataprocessor'!$F$32),"")</x:f>
        <x:v>46052</x:v>
      </x:c>
      <x:c r="F141" s="189" t="n">
        <x:f>IF(G141="definiert",MIN('Stationen Abfrage dataprocessor'!$G$32,'Stationen Abfrage dataprocessor'!$H$32+1),"")</x:f>
        <x:v>46136</x:v>
      </x:c>
      <x:c r="G141" s="182" t="str">
        <x:f>IF(D141="nein","nicht_anwendbar",IF(D141&lt;&gt;"ja","Konfiguration fehlt",IF(OR(NOT(ISNUMBER('Stationen Abfrage dataprocessor'!$E$32)),NOT(ISNUMBER('Stationen Abfrage dataprocessor'!$F$32)),NOT(ISNUMBER('Stationen Abfrage dataprocessor'!$G$32)),NOT(ISNUMBER('Stationen Abfrage dataprocessor'!$H$32))),"Konfiguration fehlt",IF((MIN('Stationen Abfrage dataprocessor'!$G$32,'Stationen Abfrage dataprocessor'!$H$32+1))&lt;=(MAX('Stationen Abfrage dataprocessor'!$E$32,'Stationen Abfrage dataprocessor'!$F$32)),"kein_beobachtetes_fenster","definiert"))))</x:f>
        <x:v>definiert</x:v>
      </x:c>
      <x:c r="H141" s="182" t="str">
        <x:v>nein</x:v>
      </x:c>
      <x:c r="I141" s="182" t="str">
        <x:v>nein</x:v>
      </x:c>
      <x:c r="J141" s="182" t="str">
        <x:f>"nicht Voraussetzung"</x:f>
        <x:v>nicht Voraussetzung</x:v>
      </x:c>
      <x:c r="K141" s="190" t="n">
        <x:f>IF(G141="definiert",F141-E141,"")</x:f>
        <x:v>84</x:v>
      </x:c>
      <x:c r="L141" s="182" t="n">
        <x:v>32</x:v>
      </x:c>
      <x:c r="M141" s="182" t="str">
        <x:f>IF('Stationen Abfrage dataprocessor'!$K$32="","",'Stationen Abfrage dataprocessor'!$K$32)</x:f>
      </x:c>
      <x:c r="N141" s="182" t="str">
        <x:f>Definitionen!$B$2</x:f>
        <x:v>IP-COHORT-2026-10-28-01</x:v>
      </x:c>
    </x:row>
    <x:row r="142" ht="30" customHeight="1">
      <x:c r="A142" s="182" t="str">
        <x:f>'Stationen Abfrage dataprocessor'!$A$32</x:f>
        <x:v>UM Essen</x:v>
      </x:c>
      <x:c r="B142" s="182" t="str">
        <x:f>'Stationen Abfrage dataprocessor'!$D$32</x:f>
        <x:v>NEURO1.NKL</x:v>
      </x:c>
      <x:c r="C142" s="182" t="str">
        <x:v>CRS-B</x:v>
      </x:c>
      <x:c r="D142" s="182" t="str">
        <x:f>'Stationen Abfrage dataprocessor'!$O$32</x:f>
        <x:v>ja</x:v>
      </x:c>
      <x:c r="E142" s="189" t="n">
        <x:f>IF(G142="definiert",MAX('Stationen Abfrage dataprocessor'!$E$32,'Stationen Abfrage dataprocessor'!$G$32),"")</x:f>
        <x:v>46136</x:v>
      </x:c>
      <x:c r="F142" s="189" t="n">
        <x:f>IF(G142="definiert",'Stationen Abfrage dataprocessor'!$H$32+1,"")</x:f>
        <x:v>46266</x:v>
      </x:c>
      <x:c r="G142" s="182" t="str">
        <x:f>IF(D142="nein","nicht_anwendbar",IF(D142&lt;&gt;"ja","Konfiguration fehlt",IF(OR(NOT(ISNUMBER('Stationen Abfrage dataprocessor'!$E$32)),NOT(ISNUMBER('Stationen Abfrage dataprocessor'!$G$32)),NOT(ISNUMBER('Stationen Abfrage dataprocessor'!$H$32))),"Konfiguration fehlt",IF(('Stationen Abfrage dataprocessor'!$H$32+1)&lt;=(MAX('Stationen Abfrage dataprocessor'!$E$32,'Stationen Abfrage dataprocessor'!$G$32)),"kein_beobachtetes_fenster","definiert"))))</x:f>
        <x:v>definiert</x:v>
      </x:c>
      <x:c r="H142" s="182" t="str">
        <x:v>nein</x:v>
      </x:c>
      <x:c r="I142" s="182" t="str">
        <x:v>nein</x:v>
      </x:c>
      <x:c r="J142" s="182" t="str">
        <x:f>'Stationen Abfrage dataprocessor'!$S$32</x:f>
        <x:v>fallbezogen prüfen</x:v>
      </x:c>
      <x:c r="K142" s="190" t="n">
        <x:f>IF(G142="definiert",F142-E142,"")</x:f>
        <x:v>130</x:v>
      </x:c>
      <x:c r="L142" s="182" t="n">
        <x:v>32</x:v>
      </x:c>
      <x:c r="M142" s="182" t="str">
        <x:f>IF('Stationen Abfrage dataprocessor'!$K$32="","",'Stationen Abfrage dataprocessor'!$K$32)</x:f>
      </x:c>
      <x:c r="N142" s="182" t="str">
        <x:f>Definitionen!$B$2</x:f>
        <x:v>IP-COHORT-2026-10-28-01</x:v>
      </x:c>
    </x:row>
    <x:row r="143" ht="30" customHeight="1">
      <x:c r="A143" s="182" t="str">
        <x:f>'Stationen Abfrage dataprocessor'!$A$32</x:f>
        <x:v>UM Essen</x:v>
      </x:c>
      <x:c r="B143" s="182" t="str">
        <x:f>'Stationen Abfrage dataprocessor'!$D$32</x:f>
        <x:v>NEURO1.NKL</x:v>
      </x:c>
      <x:c r="C143" s="182" t="str">
        <x:v>RES</x:v>
      </x:c>
      <x:c r="D143" s="182" t="str">
        <x:f>'Stationen Abfrage dataprocessor'!$P$32</x:f>
        <x:v>ja</x:v>
      </x:c>
      <x:c r="E143" s="189" t="n">
        <x:f>IF(G143="definiert",MAX('Stationen Abfrage dataprocessor'!$E$32,'Stationen Abfrage dataprocessor'!$G$32),"")</x:f>
        <x:v>46136</x:v>
      </x:c>
      <x:c r="F143" s="189" t="n">
        <x:f>IF(G143="definiert",'Stationen Abfrage dataprocessor'!$H$32+1,"")</x:f>
        <x:v>46266</x:v>
      </x:c>
      <x:c r="G143" s="182" t="str">
        <x:f>IF(D143="nein","nicht_anwendbar",IF(D143&lt;&gt;"ja","Konfiguration fehlt",IF(OR(NOT(ISNUMBER('Stationen Abfrage dataprocessor'!$E$32)),NOT(ISNUMBER('Stationen Abfrage dataprocessor'!$G$32)),NOT(ISNUMBER('Stationen Abfrage dataprocessor'!$H$32))),"Konfiguration fehlt",IF(('Stationen Abfrage dataprocessor'!$H$32+1)&lt;=(MAX('Stationen Abfrage dataprocessor'!$E$32,'Stationen Abfrage dataprocessor'!$G$32)),"kein_beobachtetes_fenster","definiert"))))</x:f>
        <x:v>definiert</x:v>
      </x:c>
      <x:c r="H143" s="182" t="str">
        <x:v>ja</x:v>
      </x:c>
      <x:c r="I143" s="182" t="str">
        <x:v>ja</x:v>
      </x:c>
      <x:c r="J143" s="182" t="str">
        <x:f>'Stationen Abfrage dataprocessor'!$S$32</x:f>
        <x:v>fallbezogen prüfen</x:v>
      </x:c>
      <x:c r="K143" s="190" t="n">
        <x:f>IF(G143="definiert",F143-E143,"")</x:f>
        <x:v>130</x:v>
      </x:c>
      <x:c r="L143" s="182" t="n">
        <x:v>32</x:v>
      </x:c>
      <x:c r="M143" s="182" t="str">
        <x:f>IF('Stationen Abfrage dataprocessor'!$K$32="","",'Stationen Abfrage dataprocessor'!$K$32)</x:f>
      </x:c>
      <x:c r="N143" s="182" t="str">
        <x:f>Definitionen!$B$2</x:f>
        <x:v>IP-COHORT-2026-10-28-01</x:v>
      </x:c>
    </x:row>
    <x:row r="144" ht="30" customHeight="1">
      <x:c r="A144" s="182" t="str">
        <x:f>'Stationen Abfrage dataprocessor'!$A$32</x:f>
        <x:v>UM Essen</x:v>
      </x:c>
      <x:c r="B144" s="182" t="str">
        <x:f>'Stationen Abfrage dataprocessor'!$D$32</x:f>
        <x:v>NEURO1.NKL</x:v>
      </x:c>
      <x:c r="C144" s="182" t="str">
        <x:v>TRS</x:v>
      </x:c>
      <x:c r="D144" s="182" t="str">
        <x:f>'Stationen Abfrage dataprocessor'!$Q$32</x:f>
        <x:v>ja</x:v>
      </x:c>
      <x:c r="E144" s="189" t="n">
        <x:f>IF(G144="definiert",'Stationen Abfrage dataprocessor'!$E$32,"")</x:f>
        <x:v>45922</x:v>
      </x:c>
      <x:c r="F144" s="189" t="n">
        <x:f>IF(G144="definiert",'Stationen Abfrage dataprocessor'!$H$32+1,"")</x:f>
        <x:v>46266</x:v>
      </x:c>
      <x:c r="G144" s="182" t="str">
        <x:f>IF(D144="nein","nicht_anwendbar",IF(D144&lt;&gt;"ja","Konfiguration fehlt",IF(OR(NOT(ISNUMBER('Stationen Abfrage dataprocessor'!$E$32)),NOT(ISNUMBER('Stationen Abfrage dataprocessor'!$H$32))),"Konfiguration fehlt",IF(('Stationen Abfrage dataprocessor'!$H$32+1)&lt;=('Stationen Abfrage dataprocessor'!$E$32),"kein_beobachtetes_fenster","definiert"))))</x:f>
        <x:v>definiert</x:v>
      </x:c>
      <x:c r="H144" s="182" t="str">
        <x:v>ja</x:v>
      </x:c>
      <x:c r="I144" s="182" t="str">
        <x:v>nein</x:v>
      </x:c>
      <x:c r="J144" s="182" t="str">
        <x:f>"nicht Voraussetzung"</x:f>
        <x:v>nicht Voraussetzung</x:v>
      </x:c>
      <x:c r="K144" s="190" t="n">
        <x:f>IF(G144="definiert",F144-E144,"")</x:f>
        <x:v>344</x:v>
      </x:c>
      <x:c r="L144" s="182" t="n">
        <x:v>32</x:v>
      </x:c>
      <x:c r="M144" s="182" t="str">
        <x:f>IF('Stationen Abfrage dataprocessor'!$K$32="","",'Stationen Abfrage dataprocessor'!$K$32)</x:f>
      </x:c>
      <x:c r="N144" s="182" t="str">
        <x:f>Definitionen!$B$2</x:f>
        <x:v>IP-COHORT-2026-10-28-01</x:v>
      </x:c>
    </x:row>
    <x:row r="145" ht="72" customHeight="1">
      <x:c r="A145" s="182" t="str">
        <x:f>'Stationen Abfrage dataprocessor'!$A$33</x:f>
        <x:v>UM Essen</x:v>
      </x:c>
      <x:c r="B145" s="182" t="str">
        <x:f>'Stationen Abfrage dataprocessor'!$D$33</x:f>
        <x:v>GASTRO1.MEDG</x:v>
      </x:c>
      <x:c r="C145" s="182" t="str">
        <x:v>BS</x:v>
      </x:c>
      <x:c r="D145" s="182" t="str">
        <x:f>'Stationen Abfrage dataprocessor'!$M$33</x:f>
        <x:v>ja</x:v>
      </x:c>
      <x:c r="E145" s="189" t="str">
        <x:f>IF(G145="definiert",'Stationen Abfrage dataprocessor'!$E$33,"")</x:f>
      </x:c>
      <x:c r="F145" s="189" t="str">
        <x:f>IF(G145="definiert",IF('Stationen Abfrage dataprocessor'!$T$33="Studienende",'Stationen Abfrage dataprocessor'!$H$33+1,MIN('Stationen Abfrage dataprocessor'!$F$33,'Stationen Abfrage dataprocessor'!$H$33+1)),"")</x:f>
      </x:c>
      <x:c r="G145" s="182" t="str">
        <x:f>IF(D145="nein","nicht_anwendbar",IF(D145&lt;&gt;"ja","Konfiguration fehlt",IF(OR(NOT(ISNUMBER('Stationen Abfrage dataprocessor'!$E$33)),NOT(ISNUMBER('Stationen Abfrage dataprocessor'!$H$33)),AND('Stationen Abfrage dataprocessor'!$T$33&lt;&gt;"Phasengrenze",'Stationen Abfrage dataprocessor'!$T$33&lt;&gt;"Studienende"),AND('Stationen Abfrage dataprocessor'!$T$33="Phasengrenze",NOT(ISNUMBER('Stationen Abfrage dataprocessor'!$F$33)))),"Konfiguration fehlt",IF((IF('Stationen Abfrage dataprocessor'!$T$33="Studienende",'Stationen Abfrage dataprocessor'!$H$33+1,MIN('Stationen Abfrage dataprocessor'!$F$33,'Stationen Abfrage dataprocessor'!$H$33+1)))&lt;=('Stationen Abfrage dataprocessor'!$E$33),"kein_beobachtetes_fenster","definiert"))))</x:f>
        <x:v>kein_beobachtetes_fenster</x:v>
      </x:c>
      <x:c r="H145" s="182" t="str">
        <x:v>nein</x:v>
      </x:c>
      <x:c r="I145" s="182" t="str">
        <x:v>nein</x:v>
      </x:c>
      <x:c r="J145" s="182" t="str">
        <x:f>"nicht Voraussetzung"</x:f>
        <x:v>nicht Voraussetzung</x:v>
      </x:c>
      <x:c r="K145" s="190" t="str">
        <x:f>IF(G145="definiert",F145-E145,"")</x:f>
      </x:c>
      <x:c r="L145" s="182" t="n">
        <x:v>33</x:v>
      </x:c>
      <x:c r="M145" s="182" t="str">
        <x:f>IF('Stationen Abfrage dataprocessor'!$K$33="","",'Stationen Abfrage dataprocessor'!$K$33)</x:f>
        <x:v>Tatsächlicher Stationsstart 22.04.2026. Keine beobachtete BS; CRS-A beginnt mit der Stationsaktivierung.</x:v>
      </x:c>
      <x:c r="N145" s="182" t="str">
        <x:f>Definitionen!$B$2</x:f>
        <x:v>IP-COHORT-2026-10-28-01</x:v>
      </x:c>
    </x:row>
    <x:row r="146" ht="72" customHeight="1">
      <x:c r="A146" s="182" t="str">
        <x:f>'Stationen Abfrage dataprocessor'!$A$33</x:f>
        <x:v>UM Essen</x:v>
      </x:c>
      <x:c r="B146" s="182" t="str">
        <x:f>'Stationen Abfrage dataprocessor'!$D$33</x:f>
        <x:v>GASTRO1.MEDG</x:v>
      </x:c>
      <x:c r="C146" s="182" t="str">
        <x:v>CRS-A</x:v>
      </x:c>
      <x:c r="D146" s="182" t="str">
        <x:f>'Stationen Abfrage dataprocessor'!$N$33</x:f>
        <x:v>ja</x:v>
      </x:c>
      <x:c r="E146" s="189" t="n">
        <x:f>IF(G146="definiert",MAX('Stationen Abfrage dataprocessor'!$E$33,'Stationen Abfrage dataprocessor'!$F$33),"")</x:f>
        <x:v>46134</x:v>
      </x:c>
      <x:c r="F146" s="189" t="n">
        <x:f>IF(G146="definiert",MIN('Stationen Abfrage dataprocessor'!$G$33,'Stationen Abfrage dataprocessor'!$H$33+1),"")</x:f>
        <x:v>46192</x:v>
      </x:c>
      <x:c r="G146" s="182" t="str">
        <x:f>IF(D146="nein","nicht_anwendbar",IF(D146&lt;&gt;"ja","Konfiguration fehlt",IF(OR(NOT(ISNUMBER('Stationen Abfrage dataprocessor'!$E$33)),NOT(ISNUMBER('Stationen Abfrage dataprocessor'!$F$33)),NOT(ISNUMBER('Stationen Abfrage dataprocessor'!$G$33)),NOT(ISNUMBER('Stationen Abfrage dataprocessor'!$H$33))),"Konfiguration fehlt",IF((MIN('Stationen Abfrage dataprocessor'!$G$33,'Stationen Abfrage dataprocessor'!$H$33+1))&lt;=(MAX('Stationen Abfrage dataprocessor'!$E$33,'Stationen Abfrage dataprocessor'!$F$33)),"kein_beobachtetes_fenster","definiert"))))</x:f>
        <x:v>definiert</x:v>
      </x:c>
      <x:c r="H146" s="182" t="str">
        <x:v>nein</x:v>
      </x:c>
      <x:c r="I146" s="182" t="str">
        <x:v>nein</x:v>
      </x:c>
      <x:c r="J146" s="182" t="str">
        <x:f>"nicht Voraussetzung"</x:f>
        <x:v>nicht Voraussetzung</x:v>
      </x:c>
      <x:c r="K146" s="190" t="n">
        <x:f>IF(G146="definiert",F146-E146,"")</x:f>
        <x:v>58</x:v>
      </x:c>
      <x:c r="L146" s="182" t="n">
        <x:v>33</x:v>
      </x:c>
      <x:c r="M146" s="182" t="str">
        <x:f>IF('Stationen Abfrage dataprocessor'!$K$33="","",'Stationen Abfrage dataprocessor'!$K$33)</x:f>
        <x:v>Tatsächlicher Stationsstart 22.04.2026. Keine beobachtete BS; CRS-A beginnt mit der Stationsaktivierung.</x:v>
      </x:c>
      <x:c r="N146" s="182" t="str">
        <x:f>Definitionen!$B$2</x:f>
        <x:v>IP-COHORT-2026-10-28-01</x:v>
      </x:c>
    </x:row>
    <x:row r="147" ht="72" customHeight="1">
      <x:c r="A147" s="182" t="str">
        <x:f>'Stationen Abfrage dataprocessor'!$A$33</x:f>
        <x:v>UM Essen</x:v>
      </x:c>
      <x:c r="B147" s="182" t="str">
        <x:f>'Stationen Abfrage dataprocessor'!$D$33</x:f>
        <x:v>GASTRO1.MEDG</x:v>
      </x:c>
      <x:c r="C147" s="182" t="str">
        <x:v>CRS-B</x:v>
      </x:c>
      <x:c r="D147" s="182" t="str">
        <x:f>'Stationen Abfrage dataprocessor'!$O$33</x:f>
        <x:v>ja</x:v>
      </x:c>
      <x:c r="E147" s="189" t="n">
        <x:f>IF(G147="definiert",MAX('Stationen Abfrage dataprocessor'!$E$33,'Stationen Abfrage dataprocessor'!$G$33),"")</x:f>
        <x:v>46192</x:v>
      </x:c>
      <x:c r="F147" s="189" t="n">
        <x:f>IF(G147="definiert",'Stationen Abfrage dataprocessor'!$H$33+1,"")</x:f>
        <x:v>46266</x:v>
      </x:c>
      <x:c r="G147" s="182" t="str">
        <x:f>IF(D147="nein","nicht_anwendbar",IF(D147&lt;&gt;"ja","Konfiguration fehlt",IF(OR(NOT(ISNUMBER('Stationen Abfrage dataprocessor'!$E$33)),NOT(ISNUMBER('Stationen Abfrage dataprocessor'!$G$33)),NOT(ISNUMBER('Stationen Abfrage dataprocessor'!$H$33))),"Konfiguration fehlt",IF(('Stationen Abfrage dataprocessor'!$H$33+1)&lt;=(MAX('Stationen Abfrage dataprocessor'!$E$33,'Stationen Abfrage dataprocessor'!$G$33)),"kein_beobachtetes_fenster","definiert"))))</x:f>
        <x:v>definiert</x:v>
      </x:c>
      <x:c r="H147" s="182" t="str">
        <x:v>nein</x:v>
      </x:c>
      <x:c r="I147" s="182" t="str">
        <x:v>nein</x:v>
      </x:c>
      <x:c r="J147" s="182" t="str">
        <x:f>'Stationen Abfrage dataprocessor'!$S$33</x:f>
        <x:v>fallbezogen prüfen</x:v>
      </x:c>
      <x:c r="K147" s="190" t="n">
        <x:f>IF(G147="definiert",F147-E147,"")</x:f>
        <x:v>74</x:v>
      </x:c>
      <x:c r="L147" s="182" t="n">
        <x:v>33</x:v>
      </x:c>
      <x:c r="M147" s="182" t="str">
        <x:f>IF('Stationen Abfrage dataprocessor'!$K$33="","",'Stationen Abfrage dataprocessor'!$K$33)</x:f>
        <x:v>Tatsächlicher Stationsstart 22.04.2026. Keine beobachtete BS; CRS-A beginnt mit der Stationsaktivierung.</x:v>
      </x:c>
      <x:c r="N147" s="182" t="str">
        <x:f>Definitionen!$B$2</x:f>
        <x:v>IP-COHORT-2026-10-28-01</x:v>
      </x:c>
    </x:row>
    <x:row r="148" ht="72" customHeight="1">
      <x:c r="A148" s="182" t="str">
        <x:f>'Stationen Abfrage dataprocessor'!$A$33</x:f>
        <x:v>UM Essen</x:v>
      </x:c>
      <x:c r="B148" s="182" t="str">
        <x:f>'Stationen Abfrage dataprocessor'!$D$33</x:f>
        <x:v>GASTRO1.MEDG</x:v>
      </x:c>
      <x:c r="C148" s="182" t="str">
        <x:v>RES</x:v>
      </x:c>
      <x:c r="D148" s="182" t="str">
        <x:f>'Stationen Abfrage dataprocessor'!$P$33</x:f>
        <x:v>ja</x:v>
      </x:c>
      <x:c r="E148" s="189" t="n">
        <x:f>IF(G148="definiert",MAX('Stationen Abfrage dataprocessor'!$E$33,'Stationen Abfrage dataprocessor'!$G$33),"")</x:f>
        <x:v>46192</x:v>
      </x:c>
      <x:c r="F148" s="189" t="n">
        <x:f>IF(G148="definiert",'Stationen Abfrage dataprocessor'!$H$33+1,"")</x:f>
        <x:v>46266</x:v>
      </x:c>
      <x:c r="G148" s="182" t="str">
        <x:f>IF(D148="nein","nicht_anwendbar",IF(D148&lt;&gt;"ja","Konfiguration fehlt",IF(OR(NOT(ISNUMBER('Stationen Abfrage dataprocessor'!$E$33)),NOT(ISNUMBER('Stationen Abfrage dataprocessor'!$G$33)),NOT(ISNUMBER('Stationen Abfrage dataprocessor'!$H$33))),"Konfiguration fehlt",IF(('Stationen Abfrage dataprocessor'!$H$33+1)&lt;=(MAX('Stationen Abfrage dataprocessor'!$E$33,'Stationen Abfrage dataprocessor'!$G$33)),"kein_beobachtetes_fenster","definiert"))))</x:f>
        <x:v>definiert</x:v>
      </x:c>
      <x:c r="H148" s="182" t="str">
        <x:v>ja</x:v>
      </x:c>
      <x:c r="I148" s="182" t="str">
        <x:v>ja</x:v>
      </x:c>
      <x:c r="J148" s="182" t="str">
        <x:f>'Stationen Abfrage dataprocessor'!$S$33</x:f>
        <x:v>fallbezogen prüfen</x:v>
      </x:c>
      <x:c r="K148" s="190" t="n">
        <x:f>IF(G148="definiert",F148-E148,"")</x:f>
        <x:v>74</x:v>
      </x:c>
      <x:c r="L148" s="182" t="n">
        <x:v>33</x:v>
      </x:c>
      <x:c r="M148" s="182" t="str">
        <x:f>IF('Stationen Abfrage dataprocessor'!$K$33="","",'Stationen Abfrage dataprocessor'!$K$33)</x:f>
        <x:v>Tatsächlicher Stationsstart 22.04.2026. Keine beobachtete BS; CRS-A beginnt mit der Stationsaktivierung.</x:v>
      </x:c>
      <x:c r="N148" s="182" t="str">
        <x:f>Definitionen!$B$2</x:f>
        <x:v>IP-COHORT-2026-10-28-01</x:v>
      </x:c>
    </x:row>
    <x:row r="149" ht="72" customHeight="1">
      <x:c r="A149" s="182" t="str">
        <x:f>'Stationen Abfrage dataprocessor'!$A$33</x:f>
        <x:v>UM Essen</x:v>
      </x:c>
      <x:c r="B149" s="182" t="str">
        <x:f>'Stationen Abfrage dataprocessor'!$D$33</x:f>
        <x:v>GASTRO1.MEDG</x:v>
      </x:c>
      <x:c r="C149" s="182" t="str">
        <x:v>TRS</x:v>
      </x:c>
      <x:c r="D149" s="182" t="str">
        <x:f>'Stationen Abfrage dataprocessor'!$Q$33</x:f>
        <x:v>ja</x:v>
      </x:c>
      <x:c r="E149" s="189" t="n">
        <x:f>IF(G149="definiert",'Stationen Abfrage dataprocessor'!$E$33,"")</x:f>
        <x:v>46134</x:v>
      </x:c>
      <x:c r="F149" s="189" t="n">
        <x:f>IF(G149="definiert",'Stationen Abfrage dataprocessor'!$H$33+1,"")</x:f>
        <x:v>46266</x:v>
      </x:c>
      <x:c r="G149" s="182" t="str">
        <x:f>IF(D149="nein","nicht_anwendbar",IF(D149&lt;&gt;"ja","Konfiguration fehlt",IF(OR(NOT(ISNUMBER('Stationen Abfrage dataprocessor'!$E$33)),NOT(ISNUMBER('Stationen Abfrage dataprocessor'!$H$33))),"Konfiguration fehlt",IF(('Stationen Abfrage dataprocessor'!$H$33+1)&lt;=('Stationen Abfrage dataprocessor'!$E$33),"kein_beobachtetes_fenster","definiert"))))</x:f>
        <x:v>definiert</x:v>
      </x:c>
      <x:c r="H149" s="182" t="str">
        <x:v>ja</x:v>
      </x:c>
      <x:c r="I149" s="182" t="str">
        <x:v>nein</x:v>
      </x:c>
      <x:c r="J149" s="182" t="str">
        <x:f>"nicht Voraussetzung"</x:f>
        <x:v>nicht Voraussetzung</x:v>
      </x:c>
      <x:c r="K149" s="190" t="n">
        <x:f>IF(G149="definiert",F149-E149,"")</x:f>
        <x:v>132</x:v>
      </x:c>
      <x:c r="L149" s="182" t="n">
        <x:v>33</x:v>
      </x:c>
      <x:c r="M149" s="182" t="str">
        <x:f>IF('Stationen Abfrage dataprocessor'!$K$33="","",'Stationen Abfrage dataprocessor'!$K$33)</x:f>
        <x:v>Tatsächlicher Stationsstart 22.04.2026. Keine beobachtete BS; CRS-A beginnt mit der Stationsaktivierung.</x:v>
      </x:c>
      <x:c r="N149" s="182" t="str">
        <x:f>Definitionen!$B$2</x:f>
        <x:v>IP-COHORT-2026-10-28-01</x:v>
      </x:c>
    </x:row>
    <x:row r="150" ht="30" customHeight="1">
      <x:c r="A150" s="182" t="str">
        <x:f>'Stationen Abfrage dataprocessor'!$A$34</x:f>
        <x:v>UK Freiburg</x:v>
      </x:c>
      <x:c r="B150" s="182" t="str">
        <x:f>'Stationen Abfrage dataprocessor'!$D$34</x:f>
        <x:v>Station_Hoffmann</x:v>
      </x:c>
      <x:c r="C150" s="182" t="str">
        <x:v>BS</x:v>
      </x:c>
      <x:c r="D150" s="182" t="str">
        <x:f>'Stationen Abfrage dataprocessor'!$M$34</x:f>
        <x:v>ja</x:v>
      </x:c>
      <x:c r="E150" s="189" t="n">
        <x:f>IF(G150="definiert",'Stationen Abfrage dataprocessor'!$E$34,"")</x:f>
        <x:v>45860</x:v>
      </x:c>
      <x:c r="F150" s="189" t="n">
        <x:f>IF(G150="definiert",IF('Stationen Abfrage dataprocessor'!$T$34="Studienende",'Stationen Abfrage dataprocessor'!$H$34+1,MIN('Stationen Abfrage dataprocessor'!$F$34,'Stationen Abfrage dataprocessor'!$H$34+1)),"")</x:f>
        <x:v>46045</x:v>
      </x:c>
      <x:c r="G150" s="182" t="str">
        <x:f>IF(D150="nein","nicht_anwendbar",IF(D150&lt;&gt;"ja","Konfiguration fehlt",IF(OR(NOT(ISNUMBER('Stationen Abfrage dataprocessor'!$E$34)),NOT(ISNUMBER('Stationen Abfrage dataprocessor'!$H$34)),AND('Stationen Abfrage dataprocessor'!$T$34&lt;&gt;"Phasengrenze",'Stationen Abfrage dataprocessor'!$T$34&lt;&gt;"Studienende"),AND('Stationen Abfrage dataprocessor'!$T$34="Phasengrenze",NOT(ISNUMBER('Stationen Abfrage dataprocessor'!$F$34)))),"Konfiguration fehlt",IF((IF('Stationen Abfrage dataprocessor'!$T$34="Studienende",'Stationen Abfrage dataprocessor'!$H$34+1,MIN('Stationen Abfrage dataprocessor'!$F$34,'Stationen Abfrage dataprocessor'!$H$34+1)))&lt;=('Stationen Abfrage dataprocessor'!$E$34),"kein_beobachtetes_fenster","definiert"))))</x:f>
        <x:v>definiert</x:v>
      </x:c>
      <x:c r="H150" s="182" t="str">
        <x:v>nein</x:v>
      </x:c>
      <x:c r="I150" s="182" t="str">
        <x:v>nein</x:v>
      </x:c>
      <x:c r="J150" s="182" t="str">
        <x:f>"nicht Voraussetzung"</x:f>
        <x:v>nicht Voraussetzung</x:v>
      </x:c>
      <x:c r="K150" s="190" t="n">
        <x:f>IF(G150="definiert",F150-E150,"")</x:f>
        <x:v>185</x:v>
      </x:c>
      <x:c r="L150" s="182" t="n">
        <x:v>34</x:v>
      </x:c>
      <x:c r="M150" s="182" t="str">
        <x:f>IF('Stationen Abfrage dataprocessor'!$K$34="","",'Stationen Abfrage dataprocessor'!$K$34)</x:f>
      </x:c>
      <x:c r="N150" s="182" t="str">
        <x:f>Definitionen!$B$2</x:f>
        <x:v>IP-COHORT-2026-10-28-01</x:v>
      </x:c>
    </x:row>
    <x:row r="151" ht="30" customHeight="1">
      <x:c r="A151" s="182" t="str">
        <x:f>'Stationen Abfrage dataprocessor'!$A$34</x:f>
        <x:v>UK Freiburg</x:v>
      </x:c>
      <x:c r="B151" s="182" t="str">
        <x:f>'Stationen Abfrage dataprocessor'!$D$34</x:f>
        <x:v>Station_Hoffmann</x:v>
      </x:c>
      <x:c r="C151" s="182" t="str">
        <x:v>CRS-A</x:v>
      </x:c>
      <x:c r="D151" s="182" t="str">
        <x:f>'Stationen Abfrage dataprocessor'!$N$34</x:f>
        <x:v>ja</x:v>
      </x:c>
      <x:c r="E151" s="189" t="n">
        <x:f>IF(G151="definiert",MAX('Stationen Abfrage dataprocessor'!$E$34,'Stationen Abfrage dataprocessor'!$F$34),"")</x:f>
        <x:v>46045</x:v>
      </x:c>
      <x:c r="F151" s="189" t="n">
        <x:f>IF(G151="definiert",MIN('Stationen Abfrage dataprocessor'!$G$34,'Stationen Abfrage dataprocessor'!$H$34+1),"")</x:f>
        <x:v>46073</x:v>
      </x:c>
      <x:c r="G151" s="182" t="str">
        <x:f>IF(D151="nein","nicht_anwendbar",IF(D151&lt;&gt;"ja","Konfiguration fehlt",IF(OR(NOT(ISNUMBER('Stationen Abfrage dataprocessor'!$E$34)),NOT(ISNUMBER('Stationen Abfrage dataprocessor'!$F$34)),NOT(ISNUMBER('Stationen Abfrage dataprocessor'!$G$34)),NOT(ISNUMBER('Stationen Abfrage dataprocessor'!$H$34))),"Konfiguration fehlt",IF((MIN('Stationen Abfrage dataprocessor'!$G$34,'Stationen Abfrage dataprocessor'!$H$34+1))&lt;=(MAX('Stationen Abfrage dataprocessor'!$E$34,'Stationen Abfrage dataprocessor'!$F$34)),"kein_beobachtetes_fenster","definiert"))))</x:f>
        <x:v>definiert</x:v>
      </x:c>
      <x:c r="H151" s="182" t="str">
        <x:v>nein</x:v>
      </x:c>
      <x:c r="I151" s="182" t="str">
        <x:v>nein</x:v>
      </x:c>
      <x:c r="J151" s="182" t="str">
        <x:f>"nicht Voraussetzung"</x:f>
        <x:v>nicht Voraussetzung</x:v>
      </x:c>
      <x:c r="K151" s="190" t="n">
        <x:f>IF(G151="definiert",F151-E151,"")</x:f>
        <x:v>28</x:v>
      </x:c>
      <x:c r="L151" s="182" t="n">
        <x:v>34</x:v>
      </x:c>
      <x:c r="M151" s="182" t="str">
        <x:f>IF('Stationen Abfrage dataprocessor'!$K$34="","",'Stationen Abfrage dataprocessor'!$K$34)</x:f>
      </x:c>
      <x:c r="N151" s="182" t="str">
        <x:f>Definitionen!$B$2</x:f>
        <x:v>IP-COHORT-2026-10-28-01</x:v>
      </x:c>
    </x:row>
    <x:row r="152" ht="30" customHeight="1">
      <x:c r="A152" s="182" t="str">
        <x:f>'Stationen Abfrage dataprocessor'!$A$34</x:f>
        <x:v>UK Freiburg</x:v>
      </x:c>
      <x:c r="B152" s="182" t="str">
        <x:f>'Stationen Abfrage dataprocessor'!$D$34</x:f>
        <x:v>Station_Hoffmann</x:v>
      </x:c>
      <x:c r="C152" s="182" t="str">
        <x:v>CRS-B</x:v>
      </x:c>
      <x:c r="D152" s="182" t="str">
        <x:f>'Stationen Abfrage dataprocessor'!$O$34</x:f>
        <x:v>ja</x:v>
      </x:c>
      <x:c r="E152" s="189" t="n">
        <x:f>IF(G152="definiert",MAX('Stationen Abfrage dataprocessor'!$E$34,'Stationen Abfrage dataprocessor'!$G$34),"")</x:f>
        <x:v>46073</x:v>
      </x:c>
      <x:c r="F152" s="189" t="n">
        <x:f>IF(G152="definiert",'Stationen Abfrage dataprocessor'!$H$34+1,"")</x:f>
        <x:v>46266</x:v>
      </x:c>
      <x:c r="G152" s="182" t="str">
        <x:f>IF(D152="nein","nicht_anwendbar",IF(D152&lt;&gt;"ja","Konfiguration fehlt",IF(OR(NOT(ISNUMBER('Stationen Abfrage dataprocessor'!$E$34)),NOT(ISNUMBER('Stationen Abfrage dataprocessor'!$G$34)),NOT(ISNUMBER('Stationen Abfrage dataprocessor'!$H$34))),"Konfiguration fehlt",IF(('Stationen Abfrage dataprocessor'!$H$34+1)&lt;=(MAX('Stationen Abfrage dataprocessor'!$E$34,'Stationen Abfrage dataprocessor'!$G$34)),"kein_beobachtetes_fenster","definiert"))))</x:f>
        <x:v>definiert</x:v>
      </x:c>
      <x:c r="H152" s="182" t="str">
        <x:v>nein</x:v>
      </x:c>
      <x:c r="I152" s="182" t="str">
        <x:v>nein</x:v>
      </x:c>
      <x:c r="J152" s="182" t="str">
        <x:f>'Stationen Abfrage dataprocessor'!$S$34</x:f>
        <x:v>fallbezogen prüfen</x:v>
      </x:c>
      <x:c r="K152" s="190" t="n">
        <x:f>IF(G152="definiert",F152-E152,"")</x:f>
        <x:v>193</x:v>
      </x:c>
      <x:c r="L152" s="182" t="n">
        <x:v>34</x:v>
      </x:c>
      <x:c r="M152" s="182" t="str">
        <x:f>IF('Stationen Abfrage dataprocessor'!$K$34="","",'Stationen Abfrage dataprocessor'!$K$34)</x:f>
      </x:c>
      <x:c r="N152" s="182" t="str">
        <x:f>Definitionen!$B$2</x:f>
        <x:v>IP-COHORT-2026-10-28-01</x:v>
      </x:c>
    </x:row>
    <x:row r="153" ht="30" customHeight="1">
      <x:c r="A153" s="182" t="str">
        <x:f>'Stationen Abfrage dataprocessor'!$A$34</x:f>
        <x:v>UK Freiburg</x:v>
      </x:c>
      <x:c r="B153" s="182" t="str">
        <x:f>'Stationen Abfrage dataprocessor'!$D$34</x:f>
        <x:v>Station_Hoffmann</x:v>
      </x:c>
      <x:c r="C153" s="182" t="str">
        <x:v>RES</x:v>
      </x:c>
      <x:c r="D153" s="182" t="str">
        <x:f>'Stationen Abfrage dataprocessor'!$P$34</x:f>
        <x:v>ja</x:v>
      </x:c>
      <x:c r="E153" s="189" t="n">
        <x:f>IF(G153="definiert",MAX('Stationen Abfrage dataprocessor'!$E$34,'Stationen Abfrage dataprocessor'!$G$34),"")</x:f>
        <x:v>46073</x:v>
      </x:c>
      <x:c r="F153" s="189" t="n">
        <x:f>IF(G153="definiert",'Stationen Abfrage dataprocessor'!$H$34+1,"")</x:f>
        <x:v>46266</x:v>
      </x:c>
      <x:c r="G153" s="182" t="str">
        <x:f>IF(D153="nein","nicht_anwendbar",IF(D153&lt;&gt;"ja","Konfiguration fehlt",IF(OR(NOT(ISNUMBER('Stationen Abfrage dataprocessor'!$E$34)),NOT(ISNUMBER('Stationen Abfrage dataprocessor'!$G$34)),NOT(ISNUMBER('Stationen Abfrage dataprocessor'!$H$34))),"Konfiguration fehlt",IF(('Stationen Abfrage dataprocessor'!$H$34+1)&lt;=(MAX('Stationen Abfrage dataprocessor'!$E$34,'Stationen Abfrage dataprocessor'!$G$34)),"kein_beobachtetes_fenster","definiert"))))</x:f>
        <x:v>definiert</x:v>
      </x:c>
      <x:c r="H153" s="182" t="str">
        <x:v>ja</x:v>
      </x:c>
      <x:c r="I153" s="182" t="str">
        <x:v>ja</x:v>
      </x:c>
      <x:c r="J153" s="182" t="str">
        <x:f>'Stationen Abfrage dataprocessor'!$S$34</x:f>
        <x:v>fallbezogen prüfen</x:v>
      </x:c>
      <x:c r="K153" s="190" t="n">
        <x:f>IF(G153="definiert",F153-E153,"")</x:f>
        <x:v>193</x:v>
      </x:c>
      <x:c r="L153" s="182" t="n">
        <x:v>34</x:v>
      </x:c>
      <x:c r="M153" s="182" t="str">
        <x:f>IF('Stationen Abfrage dataprocessor'!$K$34="","",'Stationen Abfrage dataprocessor'!$K$34)</x:f>
      </x:c>
      <x:c r="N153" s="182" t="str">
        <x:f>Definitionen!$B$2</x:f>
        <x:v>IP-COHORT-2026-10-28-01</x:v>
      </x:c>
    </x:row>
    <x:row r="154" ht="30" customHeight="1">
      <x:c r="A154" s="182" t="str">
        <x:f>'Stationen Abfrage dataprocessor'!$A$34</x:f>
        <x:v>UK Freiburg</x:v>
      </x:c>
      <x:c r="B154" s="182" t="str">
        <x:f>'Stationen Abfrage dataprocessor'!$D$34</x:f>
        <x:v>Station_Hoffmann</x:v>
      </x:c>
      <x:c r="C154" s="182" t="str">
        <x:v>TRS</x:v>
      </x:c>
      <x:c r="D154" s="182" t="str">
        <x:f>'Stationen Abfrage dataprocessor'!$Q$34</x:f>
        <x:v>ja</x:v>
      </x:c>
      <x:c r="E154" s="189" t="n">
        <x:f>IF(G154="definiert",'Stationen Abfrage dataprocessor'!$E$34,"")</x:f>
        <x:v>45860</x:v>
      </x:c>
      <x:c r="F154" s="189" t="n">
        <x:f>IF(G154="definiert",'Stationen Abfrage dataprocessor'!$H$34+1,"")</x:f>
        <x:v>46266</x:v>
      </x:c>
      <x:c r="G154" s="182" t="str">
        <x:f>IF(D154="nein","nicht_anwendbar",IF(D154&lt;&gt;"ja","Konfiguration fehlt",IF(OR(NOT(ISNUMBER('Stationen Abfrage dataprocessor'!$E$34)),NOT(ISNUMBER('Stationen Abfrage dataprocessor'!$H$34))),"Konfiguration fehlt",IF(('Stationen Abfrage dataprocessor'!$H$34+1)&lt;=('Stationen Abfrage dataprocessor'!$E$34),"kein_beobachtetes_fenster","definiert"))))</x:f>
        <x:v>definiert</x:v>
      </x:c>
      <x:c r="H154" s="182" t="str">
        <x:v>ja</x:v>
      </x:c>
      <x:c r="I154" s="182" t="str">
        <x:v>nein</x:v>
      </x:c>
      <x:c r="J154" s="182" t="str">
        <x:f>"nicht Voraussetzung"</x:f>
        <x:v>nicht Voraussetzung</x:v>
      </x:c>
      <x:c r="K154" s="190" t="n">
        <x:f>IF(G154="definiert",F154-E154,"")</x:f>
        <x:v>406</x:v>
      </x:c>
      <x:c r="L154" s="182" t="n">
        <x:v>34</x:v>
      </x:c>
      <x:c r="M154" s="182" t="str">
        <x:f>IF('Stationen Abfrage dataprocessor'!$K$34="","",'Stationen Abfrage dataprocessor'!$K$34)</x:f>
      </x:c>
      <x:c r="N154" s="182" t="str">
        <x:f>Definitionen!$B$2</x:f>
        <x:v>IP-COHORT-2026-10-28-01</x:v>
      </x:c>
    </x:row>
    <x:row r="155" ht="30" customHeight="1">
      <x:c r="A155" s="182" t="str">
        <x:f>'Stationen Abfrage dataprocessor'!$A$35</x:f>
        <x:v>UK Freiburg</x:v>
      </x:c>
      <x:c r="B155" s="182" t="str">
        <x:f>'Stationen Abfrage dataprocessor'!$D$35</x:f>
        <x:v>Station_Jung</x:v>
      </x:c>
      <x:c r="C155" s="182" t="str">
        <x:v>BS</x:v>
      </x:c>
      <x:c r="D155" s="182" t="str">
        <x:f>'Stationen Abfrage dataprocessor'!$M$35</x:f>
        <x:v>ja</x:v>
      </x:c>
      <x:c r="E155" s="189" t="n">
        <x:f>IF(G155="definiert",'Stationen Abfrage dataprocessor'!$E$35,"")</x:f>
        <x:v>45859</x:v>
      </x:c>
      <x:c r="F155" s="189" t="n">
        <x:f>IF(G155="definiert",IF('Stationen Abfrage dataprocessor'!$T$35="Studienende",'Stationen Abfrage dataprocessor'!$H$35+1,MIN('Stationen Abfrage dataprocessor'!$F$35,'Stationen Abfrage dataprocessor'!$H$35+1)),"")</x:f>
        <x:v>46045</x:v>
      </x:c>
      <x:c r="G155" s="182" t="str">
        <x:f>IF(D155="nein","nicht_anwendbar",IF(D155&lt;&gt;"ja","Konfiguration fehlt",IF(OR(NOT(ISNUMBER('Stationen Abfrage dataprocessor'!$E$35)),NOT(ISNUMBER('Stationen Abfrage dataprocessor'!$H$35)),AND('Stationen Abfrage dataprocessor'!$T$35&lt;&gt;"Phasengrenze",'Stationen Abfrage dataprocessor'!$T$35&lt;&gt;"Studienende"),AND('Stationen Abfrage dataprocessor'!$T$35="Phasengrenze",NOT(ISNUMBER('Stationen Abfrage dataprocessor'!$F$35)))),"Konfiguration fehlt",IF((IF('Stationen Abfrage dataprocessor'!$T$35="Studienende",'Stationen Abfrage dataprocessor'!$H$35+1,MIN('Stationen Abfrage dataprocessor'!$F$35,'Stationen Abfrage dataprocessor'!$H$35+1)))&lt;=('Stationen Abfrage dataprocessor'!$E$35),"kein_beobachtetes_fenster","definiert"))))</x:f>
        <x:v>definiert</x:v>
      </x:c>
      <x:c r="H155" s="182" t="str">
        <x:v>nein</x:v>
      </x:c>
      <x:c r="I155" s="182" t="str">
        <x:v>nein</x:v>
      </x:c>
      <x:c r="J155" s="182" t="str">
        <x:f>"nicht Voraussetzung"</x:f>
        <x:v>nicht Voraussetzung</x:v>
      </x:c>
      <x:c r="K155" s="190" t="n">
        <x:f>IF(G155="definiert",F155-E155,"")</x:f>
        <x:v>186</x:v>
      </x:c>
      <x:c r="L155" s="182" t="n">
        <x:v>35</x:v>
      </x:c>
      <x:c r="M155" s="182" t="str">
        <x:f>IF('Stationen Abfrage dataprocessor'!$K$35="","",'Stationen Abfrage dataprocessor'!$K$35)</x:f>
      </x:c>
      <x:c r="N155" s="182" t="str">
        <x:f>Definitionen!$B$2</x:f>
        <x:v>IP-COHORT-2026-10-28-01</x:v>
      </x:c>
    </x:row>
    <x:row r="156" ht="30" customHeight="1">
      <x:c r="A156" s="182" t="str">
        <x:f>'Stationen Abfrage dataprocessor'!$A$35</x:f>
        <x:v>UK Freiburg</x:v>
      </x:c>
      <x:c r="B156" s="182" t="str">
        <x:f>'Stationen Abfrage dataprocessor'!$D$35</x:f>
        <x:v>Station_Jung</x:v>
      </x:c>
      <x:c r="C156" s="182" t="str">
        <x:v>CRS-A</x:v>
      </x:c>
      <x:c r="D156" s="182" t="str">
        <x:f>'Stationen Abfrage dataprocessor'!$N$35</x:f>
        <x:v>ja</x:v>
      </x:c>
      <x:c r="E156" s="189" t="n">
        <x:f>IF(G156="definiert",MAX('Stationen Abfrage dataprocessor'!$E$35,'Stationen Abfrage dataprocessor'!$F$35),"")</x:f>
        <x:v>46045</x:v>
      </x:c>
      <x:c r="F156" s="189" t="n">
        <x:f>IF(G156="definiert",MIN('Stationen Abfrage dataprocessor'!$G$35,'Stationen Abfrage dataprocessor'!$H$35+1),"")</x:f>
        <x:v>46101</x:v>
      </x:c>
      <x:c r="G156" s="182" t="str">
        <x:f>IF(D156="nein","nicht_anwendbar",IF(D156&lt;&gt;"ja","Konfiguration fehlt",IF(OR(NOT(ISNUMBER('Stationen Abfrage dataprocessor'!$E$35)),NOT(ISNUMBER('Stationen Abfrage dataprocessor'!$F$35)),NOT(ISNUMBER('Stationen Abfrage dataprocessor'!$G$35)),NOT(ISNUMBER('Stationen Abfrage dataprocessor'!$H$35))),"Konfiguration fehlt",IF((MIN('Stationen Abfrage dataprocessor'!$G$35,'Stationen Abfrage dataprocessor'!$H$35+1))&lt;=(MAX('Stationen Abfrage dataprocessor'!$E$35,'Stationen Abfrage dataprocessor'!$F$35)),"kein_beobachtetes_fenster","definiert"))))</x:f>
        <x:v>definiert</x:v>
      </x:c>
      <x:c r="H156" s="182" t="str">
        <x:v>nein</x:v>
      </x:c>
      <x:c r="I156" s="182" t="str">
        <x:v>nein</x:v>
      </x:c>
      <x:c r="J156" s="182" t="str">
        <x:f>"nicht Voraussetzung"</x:f>
        <x:v>nicht Voraussetzung</x:v>
      </x:c>
      <x:c r="K156" s="190" t="n">
        <x:f>IF(G156="definiert",F156-E156,"")</x:f>
        <x:v>56</x:v>
      </x:c>
      <x:c r="L156" s="182" t="n">
        <x:v>35</x:v>
      </x:c>
      <x:c r="M156" s="182" t="str">
        <x:f>IF('Stationen Abfrage dataprocessor'!$K$35="","",'Stationen Abfrage dataprocessor'!$K$35)</x:f>
      </x:c>
      <x:c r="N156" s="182" t="str">
        <x:f>Definitionen!$B$2</x:f>
        <x:v>IP-COHORT-2026-10-28-01</x:v>
      </x:c>
    </x:row>
    <x:row r="157" ht="30" customHeight="1">
      <x:c r="A157" s="182" t="str">
        <x:f>'Stationen Abfrage dataprocessor'!$A$35</x:f>
        <x:v>UK Freiburg</x:v>
      </x:c>
      <x:c r="B157" s="182" t="str">
        <x:f>'Stationen Abfrage dataprocessor'!$D$35</x:f>
        <x:v>Station_Jung</x:v>
      </x:c>
      <x:c r="C157" s="182" t="str">
        <x:v>CRS-B</x:v>
      </x:c>
      <x:c r="D157" s="182" t="str">
        <x:f>'Stationen Abfrage dataprocessor'!$O$35</x:f>
        <x:v>ja</x:v>
      </x:c>
      <x:c r="E157" s="189" t="n">
        <x:f>IF(G157="definiert",MAX('Stationen Abfrage dataprocessor'!$E$35,'Stationen Abfrage dataprocessor'!$G$35),"")</x:f>
        <x:v>46101</x:v>
      </x:c>
      <x:c r="F157" s="189" t="n">
        <x:f>IF(G157="definiert",'Stationen Abfrage dataprocessor'!$H$35+1,"")</x:f>
        <x:v>46266</x:v>
      </x:c>
      <x:c r="G157" s="182" t="str">
        <x:f>IF(D157="nein","nicht_anwendbar",IF(D157&lt;&gt;"ja","Konfiguration fehlt",IF(OR(NOT(ISNUMBER('Stationen Abfrage dataprocessor'!$E$35)),NOT(ISNUMBER('Stationen Abfrage dataprocessor'!$G$35)),NOT(ISNUMBER('Stationen Abfrage dataprocessor'!$H$35))),"Konfiguration fehlt",IF(('Stationen Abfrage dataprocessor'!$H$35+1)&lt;=(MAX('Stationen Abfrage dataprocessor'!$E$35,'Stationen Abfrage dataprocessor'!$G$35)),"kein_beobachtetes_fenster","definiert"))))</x:f>
        <x:v>definiert</x:v>
      </x:c>
      <x:c r="H157" s="182" t="str">
        <x:v>nein</x:v>
      </x:c>
      <x:c r="I157" s="182" t="str">
        <x:v>nein</x:v>
      </x:c>
      <x:c r="J157" s="182" t="str">
        <x:f>'Stationen Abfrage dataprocessor'!$S$35</x:f>
        <x:v>fallbezogen prüfen</x:v>
      </x:c>
      <x:c r="K157" s="190" t="n">
        <x:f>IF(G157="definiert",F157-E157,"")</x:f>
        <x:v>165</x:v>
      </x:c>
      <x:c r="L157" s="182" t="n">
        <x:v>35</x:v>
      </x:c>
      <x:c r="M157" s="182" t="str">
        <x:f>IF('Stationen Abfrage dataprocessor'!$K$35="","",'Stationen Abfrage dataprocessor'!$K$35)</x:f>
      </x:c>
      <x:c r="N157" s="182" t="str">
        <x:f>Definitionen!$B$2</x:f>
        <x:v>IP-COHORT-2026-10-28-01</x:v>
      </x:c>
    </x:row>
    <x:row r="158" ht="30" customHeight="1">
      <x:c r="A158" s="182" t="str">
        <x:f>'Stationen Abfrage dataprocessor'!$A$35</x:f>
        <x:v>UK Freiburg</x:v>
      </x:c>
      <x:c r="B158" s="182" t="str">
        <x:f>'Stationen Abfrage dataprocessor'!$D$35</x:f>
        <x:v>Station_Jung</x:v>
      </x:c>
      <x:c r="C158" s="182" t="str">
        <x:v>RES</x:v>
      </x:c>
      <x:c r="D158" s="182" t="str">
        <x:f>'Stationen Abfrage dataprocessor'!$P$35</x:f>
        <x:v>ja</x:v>
      </x:c>
      <x:c r="E158" s="189" t="n">
        <x:f>IF(G158="definiert",MAX('Stationen Abfrage dataprocessor'!$E$35,'Stationen Abfrage dataprocessor'!$G$35),"")</x:f>
        <x:v>46101</x:v>
      </x:c>
      <x:c r="F158" s="189" t="n">
        <x:f>IF(G158="definiert",'Stationen Abfrage dataprocessor'!$H$35+1,"")</x:f>
        <x:v>46266</x:v>
      </x:c>
      <x:c r="G158" s="182" t="str">
        <x:f>IF(D158="nein","nicht_anwendbar",IF(D158&lt;&gt;"ja","Konfiguration fehlt",IF(OR(NOT(ISNUMBER('Stationen Abfrage dataprocessor'!$E$35)),NOT(ISNUMBER('Stationen Abfrage dataprocessor'!$G$35)),NOT(ISNUMBER('Stationen Abfrage dataprocessor'!$H$35))),"Konfiguration fehlt",IF(('Stationen Abfrage dataprocessor'!$H$35+1)&lt;=(MAX('Stationen Abfrage dataprocessor'!$E$35,'Stationen Abfrage dataprocessor'!$G$35)),"kein_beobachtetes_fenster","definiert"))))</x:f>
        <x:v>definiert</x:v>
      </x:c>
      <x:c r="H158" s="182" t="str">
        <x:v>ja</x:v>
      </x:c>
      <x:c r="I158" s="182" t="str">
        <x:v>ja</x:v>
      </x:c>
      <x:c r="J158" s="182" t="str">
        <x:f>'Stationen Abfrage dataprocessor'!$S$35</x:f>
        <x:v>fallbezogen prüfen</x:v>
      </x:c>
      <x:c r="K158" s="190" t="n">
        <x:f>IF(G158="definiert",F158-E158,"")</x:f>
        <x:v>165</x:v>
      </x:c>
      <x:c r="L158" s="182" t="n">
        <x:v>35</x:v>
      </x:c>
      <x:c r="M158" s="182" t="str">
        <x:f>IF('Stationen Abfrage dataprocessor'!$K$35="","",'Stationen Abfrage dataprocessor'!$K$35)</x:f>
      </x:c>
      <x:c r="N158" s="182" t="str">
        <x:f>Definitionen!$B$2</x:f>
        <x:v>IP-COHORT-2026-10-28-01</x:v>
      </x:c>
    </x:row>
    <x:row r="159" ht="30" customHeight="1">
      <x:c r="A159" s="182" t="str">
        <x:f>'Stationen Abfrage dataprocessor'!$A$35</x:f>
        <x:v>UK Freiburg</x:v>
      </x:c>
      <x:c r="B159" s="182" t="str">
        <x:f>'Stationen Abfrage dataprocessor'!$D$35</x:f>
        <x:v>Station_Jung</x:v>
      </x:c>
      <x:c r="C159" s="182" t="str">
        <x:v>TRS</x:v>
      </x:c>
      <x:c r="D159" s="182" t="str">
        <x:f>'Stationen Abfrage dataprocessor'!$Q$35</x:f>
        <x:v>ja</x:v>
      </x:c>
      <x:c r="E159" s="189" t="n">
        <x:f>IF(G159="definiert",'Stationen Abfrage dataprocessor'!$E$35,"")</x:f>
        <x:v>45859</x:v>
      </x:c>
      <x:c r="F159" s="189" t="n">
        <x:f>IF(G159="definiert",'Stationen Abfrage dataprocessor'!$H$35+1,"")</x:f>
        <x:v>46266</x:v>
      </x:c>
      <x:c r="G159" s="182" t="str">
        <x:f>IF(D159="nein","nicht_anwendbar",IF(D159&lt;&gt;"ja","Konfiguration fehlt",IF(OR(NOT(ISNUMBER('Stationen Abfrage dataprocessor'!$E$35)),NOT(ISNUMBER('Stationen Abfrage dataprocessor'!$H$35))),"Konfiguration fehlt",IF(('Stationen Abfrage dataprocessor'!$H$35+1)&lt;=('Stationen Abfrage dataprocessor'!$E$35),"kein_beobachtetes_fenster","definiert"))))</x:f>
        <x:v>definiert</x:v>
      </x:c>
      <x:c r="H159" s="182" t="str">
        <x:v>ja</x:v>
      </x:c>
      <x:c r="I159" s="182" t="str">
        <x:v>nein</x:v>
      </x:c>
      <x:c r="J159" s="182" t="str">
        <x:f>"nicht Voraussetzung"</x:f>
        <x:v>nicht Voraussetzung</x:v>
      </x:c>
      <x:c r="K159" s="190" t="n">
        <x:f>IF(G159="definiert",F159-E159,"")</x:f>
        <x:v>407</x:v>
      </x:c>
      <x:c r="L159" s="182" t="n">
        <x:v>35</x:v>
      </x:c>
      <x:c r="M159" s="182" t="str">
        <x:f>IF('Stationen Abfrage dataprocessor'!$K$35="","",'Stationen Abfrage dataprocessor'!$K$35)</x:f>
      </x:c>
      <x:c r="N159" s="182" t="str">
        <x:f>Definitionen!$B$2</x:f>
        <x:v>IP-COHORT-2026-10-28-01</x:v>
      </x:c>
    </x:row>
    <x:row r="160" ht="30" customHeight="1">
      <x:c r="A160" s="182" t="str">
        <x:f>'Stationen Abfrage dataprocessor'!$A$36</x:f>
        <x:v>UK Freiburg</x:v>
      </x:c>
      <x:c r="B160" s="182" t="str">
        <x:f>'Stationen Abfrage dataprocessor'!$D$36</x:f>
        <x:v>Station_Wartenberg</x:v>
      </x:c>
      <x:c r="C160" s="182" t="str">
        <x:v>BS</x:v>
      </x:c>
      <x:c r="D160" s="182" t="str">
        <x:f>'Stationen Abfrage dataprocessor'!$M$36</x:f>
        <x:v>ja</x:v>
      </x:c>
      <x:c r="E160" s="189" t="n">
        <x:f>IF(G160="definiert",'Stationen Abfrage dataprocessor'!$E$36,"")</x:f>
        <x:v>45848</x:v>
      </x:c>
      <x:c r="F160" s="189" t="n">
        <x:f>IF(G160="definiert",IF('Stationen Abfrage dataprocessor'!$T$36="Studienende",'Stationen Abfrage dataprocessor'!$H$36+1,MIN('Stationen Abfrage dataprocessor'!$F$36,'Stationen Abfrage dataprocessor'!$H$36+1)),"")</x:f>
        <x:v>46045</x:v>
      </x:c>
      <x:c r="G160" s="182" t="str">
        <x:f>IF(D160="nein","nicht_anwendbar",IF(D160&lt;&gt;"ja","Konfiguration fehlt",IF(OR(NOT(ISNUMBER('Stationen Abfrage dataprocessor'!$E$36)),NOT(ISNUMBER('Stationen Abfrage dataprocessor'!$H$36)),AND('Stationen Abfrage dataprocessor'!$T$36&lt;&gt;"Phasengrenze",'Stationen Abfrage dataprocessor'!$T$36&lt;&gt;"Studienende"),AND('Stationen Abfrage dataprocessor'!$T$36="Phasengrenze",NOT(ISNUMBER('Stationen Abfrage dataprocessor'!$F$36)))),"Konfiguration fehlt",IF((IF('Stationen Abfrage dataprocessor'!$T$36="Studienende",'Stationen Abfrage dataprocessor'!$H$36+1,MIN('Stationen Abfrage dataprocessor'!$F$36,'Stationen Abfrage dataprocessor'!$H$36+1)))&lt;=('Stationen Abfrage dataprocessor'!$E$36),"kein_beobachtetes_fenster","definiert"))))</x:f>
        <x:v>definiert</x:v>
      </x:c>
      <x:c r="H160" s="182" t="str">
        <x:v>nein</x:v>
      </x:c>
      <x:c r="I160" s="182" t="str">
        <x:v>nein</x:v>
      </x:c>
      <x:c r="J160" s="182" t="str">
        <x:f>"nicht Voraussetzung"</x:f>
        <x:v>nicht Voraussetzung</x:v>
      </x:c>
      <x:c r="K160" s="190" t="n">
        <x:f>IF(G160="definiert",F160-E160,"")</x:f>
        <x:v>197</x:v>
      </x:c>
      <x:c r="L160" s="182" t="n">
        <x:v>36</x:v>
      </x:c>
      <x:c r="M160" s="182" t="str">
        <x:f>IF('Stationen Abfrage dataprocessor'!$K$36="","",'Stationen Abfrage dataprocessor'!$K$36)</x:f>
      </x:c>
      <x:c r="N160" s="182" t="str">
        <x:f>Definitionen!$B$2</x:f>
        <x:v>IP-COHORT-2026-10-28-01</x:v>
      </x:c>
    </x:row>
    <x:row r="161" ht="30" customHeight="1">
      <x:c r="A161" s="182" t="str">
        <x:f>'Stationen Abfrage dataprocessor'!$A$36</x:f>
        <x:v>UK Freiburg</x:v>
      </x:c>
      <x:c r="B161" s="182" t="str">
        <x:f>'Stationen Abfrage dataprocessor'!$D$36</x:f>
        <x:v>Station_Wartenberg</x:v>
      </x:c>
      <x:c r="C161" s="182" t="str">
        <x:v>CRS-A</x:v>
      </x:c>
      <x:c r="D161" s="182" t="str">
        <x:f>'Stationen Abfrage dataprocessor'!$N$36</x:f>
        <x:v>ja</x:v>
      </x:c>
      <x:c r="E161" s="189" t="n">
        <x:f>IF(G161="definiert",MAX('Stationen Abfrage dataprocessor'!$E$36,'Stationen Abfrage dataprocessor'!$F$36),"")</x:f>
        <x:v>46045</x:v>
      </x:c>
      <x:c r="F161" s="189" t="n">
        <x:f>IF(G161="definiert",MIN('Stationen Abfrage dataprocessor'!$G$36,'Stationen Abfrage dataprocessor'!$H$36+1),"")</x:f>
        <x:v>46129</x:v>
      </x:c>
      <x:c r="G161" s="182" t="str">
        <x:f>IF(D161="nein","nicht_anwendbar",IF(D161&lt;&gt;"ja","Konfiguration fehlt",IF(OR(NOT(ISNUMBER('Stationen Abfrage dataprocessor'!$E$36)),NOT(ISNUMBER('Stationen Abfrage dataprocessor'!$F$36)),NOT(ISNUMBER('Stationen Abfrage dataprocessor'!$G$36)),NOT(ISNUMBER('Stationen Abfrage dataprocessor'!$H$36))),"Konfiguration fehlt",IF((MIN('Stationen Abfrage dataprocessor'!$G$36,'Stationen Abfrage dataprocessor'!$H$36+1))&lt;=(MAX('Stationen Abfrage dataprocessor'!$E$36,'Stationen Abfrage dataprocessor'!$F$36)),"kein_beobachtetes_fenster","definiert"))))</x:f>
        <x:v>definiert</x:v>
      </x:c>
      <x:c r="H161" s="182" t="str">
        <x:v>nein</x:v>
      </x:c>
      <x:c r="I161" s="182" t="str">
        <x:v>nein</x:v>
      </x:c>
      <x:c r="J161" s="182" t="str">
        <x:f>"nicht Voraussetzung"</x:f>
        <x:v>nicht Voraussetzung</x:v>
      </x:c>
      <x:c r="K161" s="190" t="n">
        <x:f>IF(G161="definiert",F161-E161,"")</x:f>
        <x:v>84</x:v>
      </x:c>
      <x:c r="L161" s="182" t="n">
        <x:v>36</x:v>
      </x:c>
      <x:c r="M161" s="182" t="str">
        <x:f>IF('Stationen Abfrage dataprocessor'!$K$36="","",'Stationen Abfrage dataprocessor'!$K$36)</x:f>
      </x:c>
      <x:c r="N161" s="182" t="str">
        <x:f>Definitionen!$B$2</x:f>
        <x:v>IP-COHORT-2026-10-28-01</x:v>
      </x:c>
    </x:row>
    <x:row r="162" ht="30" customHeight="1">
      <x:c r="A162" s="182" t="str">
        <x:f>'Stationen Abfrage dataprocessor'!$A$36</x:f>
        <x:v>UK Freiburg</x:v>
      </x:c>
      <x:c r="B162" s="182" t="str">
        <x:f>'Stationen Abfrage dataprocessor'!$D$36</x:f>
        <x:v>Station_Wartenberg</x:v>
      </x:c>
      <x:c r="C162" s="182" t="str">
        <x:v>CRS-B</x:v>
      </x:c>
      <x:c r="D162" s="182" t="str">
        <x:f>'Stationen Abfrage dataprocessor'!$O$36</x:f>
        <x:v>ja</x:v>
      </x:c>
      <x:c r="E162" s="189" t="n">
        <x:f>IF(G162="definiert",MAX('Stationen Abfrage dataprocessor'!$E$36,'Stationen Abfrage dataprocessor'!$G$36),"")</x:f>
        <x:v>46129</x:v>
      </x:c>
      <x:c r="F162" s="189" t="n">
        <x:f>IF(G162="definiert",'Stationen Abfrage dataprocessor'!$H$36+1,"")</x:f>
        <x:v>46266</x:v>
      </x:c>
      <x:c r="G162" s="182" t="str">
        <x:f>IF(D162="nein","nicht_anwendbar",IF(D162&lt;&gt;"ja","Konfiguration fehlt",IF(OR(NOT(ISNUMBER('Stationen Abfrage dataprocessor'!$E$36)),NOT(ISNUMBER('Stationen Abfrage dataprocessor'!$G$36)),NOT(ISNUMBER('Stationen Abfrage dataprocessor'!$H$36))),"Konfiguration fehlt",IF(('Stationen Abfrage dataprocessor'!$H$36+1)&lt;=(MAX('Stationen Abfrage dataprocessor'!$E$36,'Stationen Abfrage dataprocessor'!$G$36)),"kein_beobachtetes_fenster","definiert"))))</x:f>
        <x:v>definiert</x:v>
      </x:c>
      <x:c r="H162" s="182" t="str">
        <x:v>nein</x:v>
      </x:c>
      <x:c r="I162" s="182" t="str">
        <x:v>nein</x:v>
      </x:c>
      <x:c r="J162" s="182" t="str">
        <x:f>'Stationen Abfrage dataprocessor'!$S$36</x:f>
        <x:v>fallbezogen prüfen</x:v>
      </x:c>
      <x:c r="K162" s="190" t="n">
        <x:f>IF(G162="definiert",F162-E162,"")</x:f>
        <x:v>137</x:v>
      </x:c>
      <x:c r="L162" s="182" t="n">
        <x:v>36</x:v>
      </x:c>
      <x:c r="M162" s="182" t="str">
        <x:f>IF('Stationen Abfrage dataprocessor'!$K$36="","",'Stationen Abfrage dataprocessor'!$K$36)</x:f>
      </x:c>
      <x:c r="N162" s="182" t="str">
        <x:f>Definitionen!$B$2</x:f>
        <x:v>IP-COHORT-2026-10-28-01</x:v>
      </x:c>
    </x:row>
    <x:row r="163" ht="30" customHeight="1">
      <x:c r="A163" s="182" t="str">
        <x:f>'Stationen Abfrage dataprocessor'!$A$36</x:f>
        <x:v>UK Freiburg</x:v>
      </x:c>
      <x:c r="B163" s="182" t="str">
        <x:f>'Stationen Abfrage dataprocessor'!$D$36</x:f>
        <x:v>Station_Wartenberg</x:v>
      </x:c>
      <x:c r="C163" s="182" t="str">
        <x:v>RES</x:v>
      </x:c>
      <x:c r="D163" s="182" t="str">
        <x:f>'Stationen Abfrage dataprocessor'!$P$36</x:f>
        <x:v>ja</x:v>
      </x:c>
      <x:c r="E163" s="189" t="n">
        <x:f>IF(G163="definiert",MAX('Stationen Abfrage dataprocessor'!$E$36,'Stationen Abfrage dataprocessor'!$G$36),"")</x:f>
        <x:v>46129</x:v>
      </x:c>
      <x:c r="F163" s="189" t="n">
        <x:f>IF(G163="definiert",'Stationen Abfrage dataprocessor'!$H$36+1,"")</x:f>
        <x:v>46266</x:v>
      </x:c>
      <x:c r="G163" s="182" t="str">
        <x:f>IF(D163="nein","nicht_anwendbar",IF(D163&lt;&gt;"ja","Konfiguration fehlt",IF(OR(NOT(ISNUMBER('Stationen Abfrage dataprocessor'!$E$36)),NOT(ISNUMBER('Stationen Abfrage dataprocessor'!$G$36)),NOT(ISNUMBER('Stationen Abfrage dataprocessor'!$H$36))),"Konfiguration fehlt",IF(('Stationen Abfrage dataprocessor'!$H$36+1)&lt;=(MAX('Stationen Abfrage dataprocessor'!$E$36,'Stationen Abfrage dataprocessor'!$G$36)),"kein_beobachtetes_fenster","definiert"))))</x:f>
        <x:v>definiert</x:v>
      </x:c>
      <x:c r="H163" s="182" t="str">
        <x:v>ja</x:v>
      </x:c>
      <x:c r="I163" s="182" t="str">
        <x:v>ja</x:v>
      </x:c>
      <x:c r="J163" s="182" t="str">
        <x:f>'Stationen Abfrage dataprocessor'!$S$36</x:f>
        <x:v>fallbezogen prüfen</x:v>
      </x:c>
      <x:c r="K163" s="190" t="n">
        <x:f>IF(G163="definiert",F163-E163,"")</x:f>
        <x:v>137</x:v>
      </x:c>
      <x:c r="L163" s="182" t="n">
        <x:v>36</x:v>
      </x:c>
      <x:c r="M163" s="182" t="str">
        <x:f>IF('Stationen Abfrage dataprocessor'!$K$36="","",'Stationen Abfrage dataprocessor'!$K$36)</x:f>
      </x:c>
      <x:c r="N163" s="182" t="str">
        <x:f>Definitionen!$B$2</x:f>
        <x:v>IP-COHORT-2026-10-28-01</x:v>
      </x:c>
    </x:row>
    <x:row r="164" ht="30" customHeight="1">
      <x:c r="A164" s="182" t="str">
        <x:f>'Stationen Abfrage dataprocessor'!$A$36</x:f>
        <x:v>UK Freiburg</x:v>
      </x:c>
      <x:c r="B164" s="182" t="str">
        <x:f>'Stationen Abfrage dataprocessor'!$D$36</x:f>
        <x:v>Station_Wartenberg</x:v>
      </x:c>
      <x:c r="C164" s="182" t="str">
        <x:v>TRS</x:v>
      </x:c>
      <x:c r="D164" s="182" t="str">
        <x:f>'Stationen Abfrage dataprocessor'!$Q$36</x:f>
        <x:v>ja</x:v>
      </x:c>
      <x:c r="E164" s="189" t="n">
        <x:f>IF(G164="definiert",'Stationen Abfrage dataprocessor'!$E$36,"")</x:f>
        <x:v>45848</x:v>
      </x:c>
      <x:c r="F164" s="189" t="n">
        <x:f>IF(G164="definiert",'Stationen Abfrage dataprocessor'!$H$36+1,"")</x:f>
        <x:v>46266</x:v>
      </x:c>
      <x:c r="G164" s="182" t="str">
        <x:f>IF(D164="nein","nicht_anwendbar",IF(D164&lt;&gt;"ja","Konfiguration fehlt",IF(OR(NOT(ISNUMBER('Stationen Abfrage dataprocessor'!$E$36)),NOT(ISNUMBER('Stationen Abfrage dataprocessor'!$H$36))),"Konfiguration fehlt",IF(('Stationen Abfrage dataprocessor'!$H$36+1)&lt;=('Stationen Abfrage dataprocessor'!$E$36),"kein_beobachtetes_fenster","definiert"))))</x:f>
        <x:v>definiert</x:v>
      </x:c>
      <x:c r="H164" s="182" t="str">
        <x:v>ja</x:v>
      </x:c>
      <x:c r="I164" s="182" t="str">
        <x:v>nein</x:v>
      </x:c>
      <x:c r="J164" s="182" t="str">
        <x:f>"nicht Voraussetzung"</x:f>
        <x:v>nicht Voraussetzung</x:v>
      </x:c>
      <x:c r="K164" s="190" t="n">
        <x:f>IF(G164="definiert",F164-E164,"")</x:f>
        <x:v>418</x:v>
      </x:c>
      <x:c r="L164" s="182" t="n">
        <x:v>36</x:v>
      </x:c>
      <x:c r="M164" s="182" t="str">
        <x:f>IF('Stationen Abfrage dataprocessor'!$K$36="","",'Stationen Abfrage dataprocessor'!$K$36)</x:f>
      </x:c>
      <x:c r="N164" s="182" t="str">
        <x:f>Definitionen!$B$2</x:f>
        <x:v>IP-COHORT-2026-10-28-01</x:v>
      </x:c>
    </x:row>
    <x:row r="165" ht="30" customHeight="1">
      <x:c r="A165" s="182" t="str">
        <x:f>'Stationen Abfrage dataprocessor'!$A$37</x:f>
        <x:v>UK Gießen</x:v>
      </x:c>
      <x:c r="B165" s="182" t="str">
        <x:f>'Stationen Abfrage dataprocessor'!$D$37</x:f>
        <x:v>Station Jesionek HAU</x:v>
      </x:c>
      <x:c r="C165" s="182" t="str">
        <x:v>BS</x:v>
      </x:c>
      <x:c r="D165" s="182" t="str">
        <x:f>'Stationen Abfrage dataprocessor'!$M$37</x:f>
        <x:v>ja</x:v>
      </x:c>
      <x:c r="E165" s="189" t="n">
        <x:f>IF(G165="definiert",'Stationen Abfrage dataprocessor'!$E$37,"")</x:f>
        <x:v>45778</x:v>
      </x:c>
      <x:c r="F165" s="189" t="n">
        <x:f>IF(G165="definiert",IF('Stationen Abfrage dataprocessor'!$T$37="Studienende",'Stationen Abfrage dataprocessor'!$H$37+1,MIN('Stationen Abfrage dataprocessor'!$F$37,'Stationen Abfrage dataprocessor'!$H$37+1)),"")</x:f>
        <x:v>46017</x:v>
      </x:c>
      <x:c r="G165" s="182" t="str">
        <x:f>IF(D165="nein","nicht_anwendbar",IF(D165&lt;&gt;"ja","Konfiguration fehlt",IF(OR(NOT(ISNUMBER('Stationen Abfrage dataprocessor'!$E$37)),NOT(ISNUMBER('Stationen Abfrage dataprocessor'!$H$37)),AND('Stationen Abfrage dataprocessor'!$T$37&lt;&gt;"Phasengrenze",'Stationen Abfrage dataprocessor'!$T$37&lt;&gt;"Studienende"),AND('Stationen Abfrage dataprocessor'!$T$37="Phasengrenze",NOT(ISNUMBER('Stationen Abfrage dataprocessor'!$F$37)))),"Konfiguration fehlt",IF((IF('Stationen Abfrage dataprocessor'!$T$37="Studienende",'Stationen Abfrage dataprocessor'!$H$37+1,MIN('Stationen Abfrage dataprocessor'!$F$37,'Stationen Abfrage dataprocessor'!$H$37+1)))&lt;=('Stationen Abfrage dataprocessor'!$E$37),"kein_beobachtetes_fenster","definiert"))))</x:f>
        <x:v>definiert</x:v>
      </x:c>
      <x:c r="H165" s="182" t="str">
        <x:v>nein</x:v>
      </x:c>
      <x:c r="I165" s="182" t="str">
        <x:v>nein</x:v>
      </x:c>
      <x:c r="J165" s="182" t="str">
        <x:f>"nicht Voraussetzung"</x:f>
        <x:v>nicht Voraussetzung</x:v>
      </x:c>
      <x:c r="K165" s="190" t="n">
        <x:f>IF(G165="definiert",F165-E165,"")</x:f>
        <x:v>239</x:v>
      </x:c>
      <x:c r="L165" s="182" t="n">
        <x:v>37</x:v>
      </x:c>
      <x:c r="M165" s="182" t="str">
        <x:f>IF('Stationen Abfrage dataprocessor'!$K$37="","",'Stationen Abfrage dataprocessor'!$K$37)</x:f>
      </x:c>
      <x:c r="N165" s="182" t="str">
        <x:f>Definitionen!$B$2</x:f>
        <x:v>IP-COHORT-2026-10-28-01</x:v>
      </x:c>
    </x:row>
    <x:row r="166" ht="30" customHeight="1">
      <x:c r="A166" s="182" t="str">
        <x:f>'Stationen Abfrage dataprocessor'!$A$37</x:f>
        <x:v>UK Gießen</x:v>
      </x:c>
      <x:c r="B166" s="182" t="str">
        <x:f>'Stationen Abfrage dataprocessor'!$D$37</x:f>
        <x:v>Station Jesionek HAU</x:v>
      </x:c>
      <x:c r="C166" s="182" t="str">
        <x:v>CRS-A</x:v>
      </x:c>
      <x:c r="D166" s="182" t="str">
        <x:f>'Stationen Abfrage dataprocessor'!$N$37</x:f>
        <x:v>ja</x:v>
      </x:c>
      <x:c r="E166" s="189" t="n">
        <x:f>IF(G166="definiert",MAX('Stationen Abfrage dataprocessor'!$E$37,'Stationen Abfrage dataprocessor'!$F$37),"")</x:f>
        <x:v>46017</x:v>
      </x:c>
      <x:c r="F166" s="189" t="n">
        <x:f>IF(G166="definiert",MIN('Stationen Abfrage dataprocessor'!$G$37,'Stationen Abfrage dataprocessor'!$H$37+1),"")</x:f>
        <x:v>46045</x:v>
      </x:c>
      <x:c r="G166" s="182" t="str">
        <x:f>IF(D166="nein","nicht_anwendbar",IF(D166&lt;&gt;"ja","Konfiguration fehlt",IF(OR(NOT(ISNUMBER('Stationen Abfrage dataprocessor'!$E$37)),NOT(ISNUMBER('Stationen Abfrage dataprocessor'!$F$37)),NOT(ISNUMBER('Stationen Abfrage dataprocessor'!$G$37)),NOT(ISNUMBER('Stationen Abfrage dataprocessor'!$H$37))),"Konfiguration fehlt",IF((MIN('Stationen Abfrage dataprocessor'!$G$37,'Stationen Abfrage dataprocessor'!$H$37+1))&lt;=(MAX('Stationen Abfrage dataprocessor'!$E$37,'Stationen Abfrage dataprocessor'!$F$37)),"kein_beobachtetes_fenster","definiert"))))</x:f>
        <x:v>definiert</x:v>
      </x:c>
      <x:c r="H166" s="182" t="str">
        <x:v>nein</x:v>
      </x:c>
      <x:c r="I166" s="182" t="str">
        <x:v>nein</x:v>
      </x:c>
      <x:c r="J166" s="182" t="str">
        <x:f>"nicht Voraussetzung"</x:f>
        <x:v>nicht Voraussetzung</x:v>
      </x:c>
      <x:c r="K166" s="190" t="n">
        <x:f>IF(G166="definiert",F166-E166,"")</x:f>
        <x:v>28</x:v>
      </x:c>
      <x:c r="L166" s="182" t="n">
        <x:v>37</x:v>
      </x:c>
      <x:c r="M166" s="182" t="str">
        <x:f>IF('Stationen Abfrage dataprocessor'!$K$37="","",'Stationen Abfrage dataprocessor'!$K$37)</x:f>
      </x:c>
      <x:c r="N166" s="182" t="str">
        <x:f>Definitionen!$B$2</x:f>
        <x:v>IP-COHORT-2026-10-28-01</x:v>
      </x:c>
    </x:row>
    <x:row r="167" ht="30" customHeight="1">
      <x:c r="A167" s="182" t="str">
        <x:f>'Stationen Abfrage dataprocessor'!$A$37</x:f>
        <x:v>UK Gießen</x:v>
      </x:c>
      <x:c r="B167" s="182" t="str">
        <x:f>'Stationen Abfrage dataprocessor'!$D$37</x:f>
        <x:v>Station Jesionek HAU</x:v>
      </x:c>
      <x:c r="C167" s="182" t="str">
        <x:v>CRS-B</x:v>
      </x:c>
      <x:c r="D167" s="182" t="str">
        <x:f>'Stationen Abfrage dataprocessor'!$O$37</x:f>
        <x:v>ja</x:v>
      </x:c>
      <x:c r="E167" s="189" t="n">
        <x:f>IF(G167="definiert",MAX('Stationen Abfrage dataprocessor'!$E$37,'Stationen Abfrage dataprocessor'!$G$37),"")</x:f>
        <x:v>46045</x:v>
      </x:c>
      <x:c r="F167" s="189" t="n">
        <x:f>IF(G167="definiert",'Stationen Abfrage dataprocessor'!$H$37+1,"")</x:f>
        <x:v>46266</x:v>
      </x:c>
      <x:c r="G167" s="182" t="str">
        <x:f>IF(D167="nein","nicht_anwendbar",IF(D167&lt;&gt;"ja","Konfiguration fehlt",IF(OR(NOT(ISNUMBER('Stationen Abfrage dataprocessor'!$E$37)),NOT(ISNUMBER('Stationen Abfrage dataprocessor'!$G$37)),NOT(ISNUMBER('Stationen Abfrage dataprocessor'!$H$37))),"Konfiguration fehlt",IF(('Stationen Abfrage dataprocessor'!$H$37+1)&lt;=(MAX('Stationen Abfrage dataprocessor'!$E$37,'Stationen Abfrage dataprocessor'!$G$37)),"kein_beobachtetes_fenster","definiert"))))</x:f>
        <x:v>definiert</x:v>
      </x:c>
      <x:c r="H167" s="182" t="str">
        <x:v>nein</x:v>
      </x:c>
      <x:c r="I167" s="182" t="str">
        <x:v>nein</x:v>
      </x:c>
      <x:c r="J167" s="182" t="str">
        <x:f>'Stationen Abfrage dataprocessor'!$S$37</x:f>
        <x:v>fallbezogen prüfen</x:v>
      </x:c>
      <x:c r="K167" s="190" t="n">
        <x:f>IF(G167="definiert",F167-E167,"")</x:f>
        <x:v>221</x:v>
      </x:c>
      <x:c r="L167" s="182" t="n">
        <x:v>37</x:v>
      </x:c>
      <x:c r="M167" s="182" t="str">
        <x:f>IF('Stationen Abfrage dataprocessor'!$K$37="","",'Stationen Abfrage dataprocessor'!$K$37)</x:f>
      </x:c>
      <x:c r="N167" s="182" t="str">
        <x:f>Definitionen!$B$2</x:f>
        <x:v>IP-COHORT-2026-10-28-01</x:v>
      </x:c>
    </x:row>
    <x:row r="168" ht="30" customHeight="1">
      <x:c r="A168" s="182" t="str">
        <x:f>'Stationen Abfrage dataprocessor'!$A$37</x:f>
        <x:v>UK Gießen</x:v>
      </x:c>
      <x:c r="B168" s="182" t="str">
        <x:f>'Stationen Abfrage dataprocessor'!$D$37</x:f>
        <x:v>Station Jesionek HAU</x:v>
      </x:c>
      <x:c r="C168" s="182" t="str">
        <x:v>RES</x:v>
      </x:c>
      <x:c r="D168" s="182" t="str">
        <x:f>'Stationen Abfrage dataprocessor'!$P$37</x:f>
        <x:v>ja</x:v>
      </x:c>
      <x:c r="E168" s="189" t="n">
        <x:f>IF(G168="definiert",MAX('Stationen Abfrage dataprocessor'!$E$37,'Stationen Abfrage dataprocessor'!$G$37),"")</x:f>
        <x:v>46045</x:v>
      </x:c>
      <x:c r="F168" s="189" t="n">
        <x:f>IF(G168="definiert",'Stationen Abfrage dataprocessor'!$H$37+1,"")</x:f>
        <x:v>46266</x:v>
      </x:c>
      <x:c r="G168" s="182" t="str">
        <x:f>IF(D168="nein","nicht_anwendbar",IF(D168&lt;&gt;"ja","Konfiguration fehlt",IF(OR(NOT(ISNUMBER('Stationen Abfrage dataprocessor'!$E$37)),NOT(ISNUMBER('Stationen Abfrage dataprocessor'!$G$37)),NOT(ISNUMBER('Stationen Abfrage dataprocessor'!$H$37))),"Konfiguration fehlt",IF(('Stationen Abfrage dataprocessor'!$H$37+1)&lt;=(MAX('Stationen Abfrage dataprocessor'!$E$37,'Stationen Abfrage dataprocessor'!$G$37)),"kein_beobachtetes_fenster","definiert"))))</x:f>
        <x:v>definiert</x:v>
      </x:c>
      <x:c r="H168" s="182" t="str">
        <x:v>ja</x:v>
      </x:c>
      <x:c r="I168" s="182" t="str">
        <x:v>ja</x:v>
      </x:c>
      <x:c r="J168" s="182" t="str">
        <x:f>'Stationen Abfrage dataprocessor'!$S$37</x:f>
        <x:v>fallbezogen prüfen</x:v>
      </x:c>
      <x:c r="K168" s="190" t="n">
        <x:f>IF(G168="definiert",F168-E168,"")</x:f>
        <x:v>221</x:v>
      </x:c>
      <x:c r="L168" s="182" t="n">
        <x:v>37</x:v>
      </x:c>
      <x:c r="M168" s="182" t="str">
        <x:f>IF('Stationen Abfrage dataprocessor'!$K$37="","",'Stationen Abfrage dataprocessor'!$K$37)</x:f>
      </x:c>
      <x:c r="N168" s="182" t="str">
        <x:f>Definitionen!$B$2</x:f>
        <x:v>IP-COHORT-2026-10-28-01</x:v>
      </x:c>
    </x:row>
    <x:row r="169" ht="30" customHeight="1">
      <x:c r="A169" s="182" t="str">
        <x:f>'Stationen Abfrage dataprocessor'!$A$37</x:f>
        <x:v>UK Gießen</x:v>
      </x:c>
      <x:c r="B169" s="182" t="str">
        <x:f>'Stationen Abfrage dataprocessor'!$D$37</x:f>
        <x:v>Station Jesionek HAU</x:v>
      </x:c>
      <x:c r="C169" s="182" t="str">
        <x:v>TRS</x:v>
      </x:c>
      <x:c r="D169" s="182" t="str">
        <x:f>'Stationen Abfrage dataprocessor'!$Q$37</x:f>
        <x:v>ja</x:v>
      </x:c>
      <x:c r="E169" s="189" t="n">
        <x:f>IF(G169="definiert",'Stationen Abfrage dataprocessor'!$E$37,"")</x:f>
        <x:v>45778</x:v>
      </x:c>
      <x:c r="F169" s="189" t="n">
        <x:f>IF(G169="definiert",'Stationen Abfrage dataprocessor'!$H$37+1,"")</x:f>
        <x:v>46266</x:v>
      </x:c>
      <x:c r="G169" s="182" t="str">
        <x:f>IF(D169="nein","nicht_anwendbar",IF(D169&lt;&gt;"ja","Konfiguration fehlt",IF(OR(NOT(ISNUMBER('Stationen Abfrage dataprocessor'!$E$37)),NOT(ISNUMBER('Stationen Abfrage dataprocessor'!$H$37))),"Konfiguration fehlt",IF(('Stationen Abfrage dataprocessor'!$H$37+1)&lt;=('Stationen Abfrage dataprocessor'!$E$37),"kein_beobachtetes_fenster","definiert"))))</x:f>
        <x:v>definiert</x:v>
      </x:c>
      <x:c r="H169" s="182" t="str">
        <x:v>ja</x:v>
      </x:c>
      <x:c r="I169" s="182" t="str">
        <x:v>nein</x:v>
      </x:c>
      <x:c r="J169" s="182" t="str">
        <x:f>"nicht Voraussetzung"</x:f>
        <x:v>nicht Voraussetzung</x:v>
      </x:c>
      <x:c r="K169" s="190" t="n">
        <x:f>IF(G169="definiert",F169-E169,"")</x:f>
        <x:v>488</x:v>
      </x:c>
      <x:c r="L169" s="182" t="n">
        <x:v>37</x:v>
      </x:c>
      <x:c r="M169" s="182" t="str">
        <x:f>IF('Stationen Abfrage dataprocessor'!$K$37="","",'Stationen Abfrage dataprocessor'!$K$37)</x:f>
      </x:c>
      <x:c r="N169" s="182" t="str">
        <x:f>Definitionen!$B$2</x:f>
        <x:v>IP-COHORT-2026-10-28-01</x:v>
      </x:c>
    </x:row>
    <x:row r="170" ht="30" customHeight="1">
      <x:c r="A170" s="182" t="str">
        <x:f>'Stationen Abfrage dataprocessor'!$A$38</x:f>
        <x:v>UK Gießen</x:v>
      </x:c>
      <x:c r="B170" s="182" t="str">
        <x:f>'Stationen Abfrage dataprocessor'!$D$38</x:f>
        <x:v>Station Vossschulte (6)</x:v>
      </x:c>
      <x:c r="C170" s="182" t="str">
        <x:v>BS</x:v>
      </x:c>
      <x:c r="D170" s="182" t="str">
        <x:f>'Stationen Abfrage dataprocessor'!$M$38</x:f>
        <x:v>ja</x:v>
      </x:c>
      <x:c r="E170" s="189" t="n">
        <x:f>IF(G170="definiert",'Stationen Abfrage dataprocessor'!$E$38,"")</x:f>
        <x:v>45778</x:v>
      </x:c>
      <x:c r="F170" s="189" t="n">
        <x:f>IF(G170="definiert",IF('Stationen Abfrage dataprocessor'!$T$38="Studienende",'Stationen Abfrage dataprocessor'!$H$38+1,MIN('Stationen Abfrage dataprocessor'!$F$38,'Stationen Abfrage dataprocessor'!$H$38+1)),"")</x:f>
        <x:v>46017</x:v>
      </x:c>
      <x:c r="G170" s="182" t="str">
        <x:f>IF(D170="nein","nicht_anwendbar",IF(D170&lt;&gt;"ja","Konfiguration fehlt",IF(OR(NOT(ISNUMBER('Stationen Abfrage dataprocessor'!$E$38)),NOT(ISNUMBER('Stationen Abfrage dataprocessor'!$H$38)),AND('Stationen Abfrage dataprocessor'!$T$38&lt;&gt;"Phasengrenze",'Stationen Abfrage dataprocessor'!$T$38&lt;&gt;"Studienende"),AND('Stationen Abfrage dataprocessor'!$T$38="Phasengrenze",NOT(ISNUMBER('Stationen Abfrage dataprocessor'!$F$38)))),"Konfiguration fehlt",IF((IF('Stationen Abfrage dataprocessor'!$T$38="Studienende",'Stationen Abfrage dataprocessor'!$H$38+1,MIN('Stationen Abfrage dataprocessor'!$F$38,'Stationen Abfrage dataprocessor'!$H$38+1)))&lt;=('Stationen Abfrage dataprocessor'!$E$38),"kein_beobachtetes_fenster","definiert"))))</x:f>
        <x:v>definiert</x:v>
      </x:c>
      <x:c r="H170" s="182" t="str">
        <x:v>nein</x:v>
      </x:c>
      <x:c r="I170" s="182" t="str">
        <x:v>nein</x:v>
      </x:c>
      <x:c r="J170" s="182" t="str">
        <x:f>"nicht Voraussetzung"</x:f>
        <x:v>nicht Voraussetzung</x:v>
      </x:c>
      <x:c r="K170" s="190" t="n">
        <x:f>IF(G170="definiert",F170-E170,"")</x:f>
        <x:v>239</x:v>
      </x:c>
      <x:c r="L170" s="182" t="n">
        <x:v>38</x:v>
      </x:c>
      <x:c r="M170" s="182" t="str">
        <x:f>IF('Stationen Abfrage dataprocessor'!$K$38="","",'Stationen Abfrage dataprocessor'!$K$38)</x:f>
      </x:c>
      <x:c r="N170" s="182" t="str">
        <x:f>Definitionen!$B$2</x:f>
        <x:v>IP-COHORT-2026-10-28-01</x:v>
      </x:c>
    </x:row>
    <x:row r="171" ht="30" customHeight="1">
      <x:c r="A171" s="182" t="str">
        <x:f>'Stationen Abfrage dataprocessor'!$A$38</x:f>
        <x:v>UK Gießen</x:v>
      </x:c>
      <x:c r="B171" s="182" t="str">
        <x:f>'Stationen Abfrage dataprocessor'!$D$38</x:f>
        <x:v>Station Vossschulte (6)</x:v>
      </x:c>
      <x:c r="C171" s="182" t="str">
        <x:v>CRS-A</x:v>
      </x:c>
      <x:c r="D171" s="182" t="str">
        <x:f>'Stationen Abfrage dataprocessor'!$N$38</x:f>
        <x:v>ja</x:v>
      </x:c>
      <x:c r="E171" s="189" t="n">
        <x:f>IF(G171="definiert",MAX('Stationen Abfrage dataprocessor'!$E$38,'Stationen Abfrage dataprocessor'!$F$38),"")</x:f>
        <x:v>46017</x:v>
      </x:c>
      <x:c r="F171" s="189" t="n">
        <x:f>IF(G171="definiert",MIN('Stationen Abfrage dataprocessor'!$G$38,'Stationen Abfrage dataprocessor'!$H$38+1),"")</x:f>
        <x:v>46045</x:v>
      </x:c>
      <x:c r="G171" s="182" t="str">
        <x:f>IF(D171="nein","nicht_anwendbar",IF(D171&lt;&gt;"ja","Konfiguration fehlt",IF(OR(NOT(ISNUMBER('Stationen Abfrage dataprocessor'!$E$38)),NOT(ISNUMBER('Stationen Abfrage dataprocessor'!$F$38)),NOT(ISNUMBER('Stationen Abfrage dataprocessor'!$G$38)),NOT(ISNUMBER('Stationen Abfrage dataprocessor'!$H$38))),"Konfiguration fehlt",IF((MIN('Stationen Abfrage dataprocessor'!$G$38,'Stationen Abfrage dataprocessor'!$H$38+1))&lt;=(MAX('Stationen Abfrage dataprocessor'!$E$38,'Stationen Abfrage dataprocessor'!$F$38)),"kein_beobachtetes_fenster","definiert"))))</x:f>
        <x:v>definiert</x:v>
      </x:c>
      <x:c r="H171" s="182" t="str">
        <x:v>nein</x:v>
      </x:c>
      <x:c r="I171" s="182" t="str">
        <x:v>nein</x:v>
      </x:c>
      <x:c r="J171" s="182" t="str">
        <x:f>"nicht Voraussetzung"</x:f>
        <x:v>nicht Voraussetzung</x:v>
      </x:c>
      <x:c r="K171" s="190" t="n">
        <x:f>IF(G171="definiert",F171-E171,"")</x:f>
        <x:v>28</x:v>
      </x:c>
      <x:c r="L171" s="182" t="n">
        <x:v>38</x:v>
      </x:c>
      <x:c r="M171" s="182" t="str">
        <x:f>IF('Stationen Abfrage dataprocessor'!$K$38="","",'Stationen Abfrage dataprocessor'!$K$38)</x:f>
      </x:c>
      <x:c r="N171" s="182" t="str">
        <x:f>Definitionen!$B$2</x:f>
        <x:v>IP-COHORT-2026-10-28-01</x:v>
      </x:c>
    </x:row>
    <x:row r="172" ht="30" customHeight="1">
      <x:c r="A172" s="182" t="str">
        <x:f>'Stationen Abfrage dataprocessor'!$A$38</x:f>
        <x:v>UK Gießen</x:v>
      </x:c>
      <x:c r="B172" s="182" t="str">
        <x:f>'Stationen Abfrage dataprocessor'!$D$38</x:f>
        <x:v>Station Vossschulte (6)</x:v>
      </x:c>
      <x:c r="C172" s="182" t="str">
        <x:v>CRS-B</x:v>
      </x:c>
      <x:c r="D172" s="182" t="str">
        <x:f>'Stationen Abfrage dataprocessor'!$O$38</x:f>
        <x:v>ja</x:v>
      </x:c>
      <x:c r="E172" s="189" t="n">
        <x:f>IF(G172="definiert",MAX('Stationen Abfrage dataprocessor'!$E$38,'Stationen Abfrage dataprocessor'!$G$38),"")</x:f>
        <x:v>46045</x:v>
      </x:c>
      <x:c r="F172" s="189" t="n">
        <x:f>IF(G172="definiert",'Stationen Abfrage dataprocessor'!$H$38+1,"")</x:f>
        <x:v>46266</x:v>
      </x:c>
      <x:c r="G172" s="182" t="str">
        <x:f>IF(D172="nein","nicht_anwendbar",IF(D172&lt;&gt;"ja","Konfiguration fehlt",IF(OR(NOT(ISNUMBER('Stationen Abfrage dataprocessor'!$E$38)),NOT(ISNUMBER('Stationen Abfrage dataprocessor'!$G$38)),NOT(ISNUMBER('Stationen Abfrage dataprocessor'!$H$38))),"Konfiguration fehlt",IF(('Stationen Abfrage dataprocessor'!$H$38+1)&lt;=(MAX('Stationen Abfrage dataprocessor'!$E$38,'Stationen Abfrage dataprocessor'!$G$38)),"kein_beobachtetes_fenster","definiert"))))</x:f>
        <x:v>definiert</x:v>
      </x:c>
      <x:c r="H172" s="182" t="str">
        <x:v>nein</x:v>
      </x:c>
      <x:c r="I172" s="182" t="str">
        <x:v>nein</x:v>
      </x:c>
      <x:c r="J172" s="182" t="str">
        <x:f>'Stationen Abfrage dataprocessor'!$S$38</x:f>
        <x:v>fallbezogen prüfen</x:v>
      </x:c>
      <x:c r="K172" s="190" t="n">
        <x:f>IF(G172="definiert",F172-E172,"")</x:f>
        <x:v>221</x:v>
      </x:c>
      <x:c r="L172" s="182" t="n">
        <x:v>38</x:v>
      </x:c>
      <x:c r="M172" s="182" t="str">
        <x:f>IF('Stationen Abfrage dataprocessor'!$K$38="","",'Stationen Abfrage dataprocessor'!$K$38)</x:f>
      </x:c>
      <x:c r="N172" s="182" t="str">
        <x:f>Definitionen!$B$2</x:f>
        <x:v>IP-COHORT-2026-10-28-01</x:v>
      </x:c>
    </x:row>
    <x:row r="173" ht="30" customHeight="1">
      <x:c r="A173" s="182" t="str">
        <x:f>'Stationen Abfrage dataprocessor'!$A$38</x:f>
        <x:v>UK Gießen</x:v>
      </x:c>
      <x:c r="B173" s="182" t="str">
        <x:f>'Stationen Abfrage dataprocessor'!$D$38</x:f>
        <x:v>Station Vossschulte (6)</x:v>
      </x:c>
      <x:c r="C173" s="182" t="str">
        <x:v>RES</x:v>
      </x:c>
      <x:c r="D173" s="182" t="str">
        <x:f>'Stationen Abfrage dataprocessor'!$P$38</x:f>
        <x:v>ja</x:v>
      </x:c>
      <x:c r="E173" s="189" t="n">
        <x:f>IF(G173="definiert",MAX('Stationen Abfrage dataprocessor'!$E$38,'Stationen Abfrage dataprocessor'!$G$38),"")</x:f>
        <x:v>46045</x:v>
      </x:c>
      <x:c r="F173" s="189" t="n">
        <x:f>IF(G173="definiert",'Stationen Abfrage dataprocessor'!$H$38+1,"")</x:f>
        <x:v>46266</x:v>
      </x:c>
      <x:c r="G173" s="182" t="str">
        <x:f>IF(D173="nein","nicht_anwendbar",IF(D173&lt;&gt;"ja","Konfiguration fehlt",IF(OR(NOT(ISNUMBER('Stationen Abfrage dataprocessor'!$E$38)),NOT(ISNUMBER('Stationen Abfrage dataprocessor'!$G$38)),NOT(ISNUMBER('Stationen Abfrage dataprocessor'!$H$38))),"Konfiguration fehlt",IF(('Stationen Abfrage dataprocessor'!$H$38+1)&lt;=(MAX('Stationen Abfrage dataprocessor'!$E$38,'Stationen Abfrage dataprocessor'!$G$38)),"kein_beobachtetes_fenster","definiert"))))</x:f>
        <x:v>definiert</x:v>
      </x:c>
      <x:c r="H173" s="182" t="str">
        <x:v>ja</x:v>
      </x:c>
      <x:c r="I173" s="182" t="str">
        <x:v>ja</x:v>
      </x:c>
      <x:c r="J173" s="182" t="str">
        <x:f>'Stationen Abfrage dataprocessor'!$S$38</x:f>
        <x:v>fallbezogen prüfen</x:v>
      </x:c>
      <x:c r="K173" s="190" t="n">
        <x:f>IF(G173="definiert",F173-E173,"")</x:f>
        <x:v>221</x:v>
      </x:c>
      <x:c r="L173" s="182" t="n">
        <x:v>38</x:v>
      </x:c>
      <x:c r="M173" s="182" t="str">
        <x:f>IF('Stationen Abfrage dataprocessor'!$K$38="","",'Stationen Abfrage dataprocessor'!$K$38)</x:f>
      </x:c>
      <x:c r="N173" s="182" t="str">
        <x:f>Definitionen!$B$2</x:f>
        <x:v>IP-COHORT-2026-10-28-01</x:v>
      </x:c>
    </x:row>
    <x:row r="174" ht="30" customHeight="1">
      <x:c r="A174" s="182" t="str">
        <x:f>'Stationen Abfrage dataprocessor'!$A$38</x:f>
        <x:v>UK Gießen</x:v>
      </x:c>
      <x:c r="B174" s="182" t="str">
        <x:f>'Stationen Abfrage dataprocessor'!$D$38</x:f>
        <x:v>Station Vossschulte (6)</x:v>
      </x:c>
      <x:c r="C174" s="182" t="str">
        <x:v>TRS</x:v>
      </x:c>
      <x:c r="D174" s="182" t="str">
        <x:f>'Stationen Abfrage dataprocessor'!$Q$38</x:f>
        <x:v>ja</x:v>
      </x:c>
      <x:c r="E174" s="189" t="n">
        <x:f>IF(G174="definiert",'Stationen Abfrage dataprocessor'!$E$38,"")</x:f>
        <x:v>45778</x:v>
      </x:c>
      <x:c r="F174" s="189" t="n">
        <x:f>IF(G174="definiert",'Stationen Abfrage dataprocessor'!$H$38+1,"")</x:f>
        <x:v>46266</x:v>
      </x:c>
      <x:c r="G174" s="182" t="str">
        <x:f>IF(D174="nein","nicht_anwendbar",IF(D174&lt;&gt;"ja","Konfiguration fehlt",IF(OR(NOT(ISNUMBER('Stationen Abfrage dataprocessor'!$E$38)),NOT(ISNUMBER('Stationen Abfrage dataprocessor'!$H$38))),"Konfiguration fehlt",IF(('Stationen Abfrage dataprocessor'!$H$38+1)&lt;=('Stationen Abfrage dataprocessor'!$E$38),"kein_beobachtetes_fenster","definiert"))))</x:f>
        <x:v>definiert</x:v>
      </x:c>
      <x:c r="H174" s="182" t="str">
        <x:v>ja</x:v>
      </x:c>
      <x:c r="I174" s="182" t="str">
        <x:v>nein</x:v>
      </x:c>
      <x:c r="J174" s="182" t="str">
        <x:f>"nicht Voraussetzung"</x:f>
        <x:v>nicht Voraussetzung</x:v>
      </x:c>
      <x:c r="K174" s="190" t="n">
        <x:f>IF(G174="definiert",F174-E174,"")</x:f>
        <x:v>488</x:v>
      </x:c>
      <x:c r="L174" s="182" t="n">
        <x:v>38</x:v>
      </x:c>
      <x:c r="M174" s="182" t="str">
        <x:f>IF('Stationen Abfrage dataprocessor'!$K$38="","",'Stationen Abfrage dataprocessor'!$K$38)</x:f>
      </x:c>
      <x:c r="N174" s="182" t="str">
        <x:f>Definitionen!$B$2</x:f>
        <x:v>IP-COHORT-2026-10-28-01</x:v>
      </x:c>
    </x:row>
    <x:row r="175" ht="30" customHeight="1">
      <x:c r="A175" s="182" t="str">
        <x:f>'Stationen Abfrage dataprocessor'!$A$39</x:f>
        <x:v>UK Gießen</x:v>
      </x:c>
      <x:c r="B175" s="182" t="str">
        <x:f>'Stationen Abfrage dataprocessor'!$D$39</x:f>
        <x:v>Station 4.3</x:v>
      </x:c>
      <x:c r="C175" s="182" t="str">
        <x:v>BS</x:v>
      </x:c>
      <x:c r="D175" s="182" t="str">
        <x:f>'Stationen Abfrage dataprocessor'!$M$39</x:f>
        <x:v>ja</x:v>
      </x:c>
      <x:c r="E175" s="189" t="n">
        <x:f>IF(G175="definiert",'Stationen Abfrage dataprocessor'!$E$39,"")</x:f>
        <x:v>45778</x:v>
      </x:c>
      <x:c r="F175" s="189" t="n">
        <x:f>IF(G175="definiert",IF('Stationen Abfrage dataprocessor'!$T$39="Studienende",'Stationen Abfrage dataprocessor'!$H$39+1,MIN('Stationen Abfrage dataprocessor'!$F$39,'Stationen Abfrage dataprocessor'!$H$39+1)),"")</x:f>
        <x:v>46017</x:v>
      </x:c>
      <x:c r="G175" s="182" t="str">
        <x:f>IF(D175="nein","nicht_anwendbar",IF(D175&lt;&gt;"ja","Konfiguration fehlt",IF(OR(NOT(ISNUMBER('Stationen Abfrage dataprocessor'!$E$39)),NOT(ISNUMBER('Stationen Abfrage dataprocessor'!$H$39)),AND('Stationen Abfrage dataprocessor'!$T$39&lt;&gt;"Phasengrenze",'Stationen Abfrage dataprocessor'!$T$39&lt;&gt;"Studienende"),AND('Stationen Abfrage dataprocessor'!$T$39="Phasengrenze",NOT(ISNUMBER('Stationen Abfrage dataprocessor'!$F$39)))),"Konfiguration fehlt",IF((IF('Stationen Abfrage dataprocessor'!$T$39="Studienende",'Stationen Abfrage dataprocessor'!$H$39+1,MIN('Stationen Abfrage dataprocessor'!$F$39,'Stationen Abfrage dataprocessor'!$H$39+1)))&lt;=('Stationen Abfrage dataprocessor'!$E$39),"kein_beobachtetes_fenster","definiert"))))</x:f>
        <x:v>definiert</x:v>
      </x:c>
      <x:c r="H175" s="182" t="str">
        <x:v>nein</x:v>
      </x:c>
      <x:c r="I175" s="182" t="str">
        <x:v>nein</x:v>
      </x:c>
      <x:c r="J175" s="182" t="str">
        <x:f>"nicht Voraussetzung"</x:f>
        <x:v>nicht Voraussetzung</x:v>
      </x:c>
      <x:c r="K175" s="190" t="n">
        <x:f>IF(G175="definiert",F175-E175,"")</x:f>
        <x:v>239</x:v>
      </x:c>
      <x:c r="L175" s="182" t="n">
        <x:v>39</x:v>
      </x:c>
      <x:c r="M175" s="182" t="str">
        <x:f>IF('Stationen Abfrage dataprocessor'!$K$39="","",'Stationen Abfrage dataprocessor'!$K$39)</x:f>
      </x:c>
      <x:c r="N175" s="182" t="str">
        <x:f>Definitionen!$B$2</x:f>
        <x:v>IP-COHORT-2026-10-28-01</x:v>
      </x:c>
    </x:row>
    <x:row r="176" ht="30" customHeight="1">
      <x:c r="A176" s="182" t="str">
        <x:f>'Stationen Abfrage dataprocessor'!$A$39</x:f>
        <x:v>UK Gießen</x:v>
      </x:c>
      <x:c r="B176" s="182" t="str">
        <x:f>'Stationen Abfrage dataprocessor'!$D$39</x:f>
        <x:v>Station 4.3</x:v>
      </x:c>
      <x:c r="C176" s="182" t="str">
        <x:v>CRS-A</x:v>
      </x:c>
      <x:c r="D176" s="182" t="str">
        <x:f>'Stationen Abfrage dataprocessor'!$N$39</x:f>
        <x:v>ja</x:v>
      </x:c>
      <x:c r="E176" s="189" t="n">
        <x:f>IF(G176="definiert",MAX('Stationen Abfrage dataprocessor'!$E$39,'Stationen Abfrage dataprocessor'!$F$39),"")</x:f>
        <x:v>46017</x:v>
      </x:c>
      <x:c r="F176" s="189" t="n">
        <x:f>IF(G176="definiert",MIN('Stationen Abfrage dataprocessor'!$G$39,'Stationen Abfrage dataprocessor'!$H$39+1),"")</x:f>
        <x:v>46073</x:v>
      </x:c>
      <x:c r="G176" s="182" t="str">
        <x:f>IF(D176="nein","nicht_anwendbar",IF(D176&lt;&gt;"ja","Konfiguration fehlt",IF(OR(NOT(ISNUMBER('Stationen Abfrage dataprocessor'!$E$39)),NOT(ISNUMBER('Stationen Abfrage dataprocessor'!$F$39)),NOT(ISNUMBER('Stationen Abfrage dataprocessor'!$G$39)),NOT(ISNUMBER('Stationen Abfrage dataprocessor'!$H$39))),"Konfiguration fehlt",IF((MIN('Stationen Abfrage dataprocessor'!$G$39,'Stationen Abfrage dataprocessor'!$H$39+1))&lt;=(MAX('Stationen Abfrage dataprocessor'!$E$39,'Stationen Abfrage dataprocessor'!$F$39)),"kein_beobachtetes_fenster","definiert"))))</x:f>
        <x:v>definiert</x:v>
      </x:c>
      <x:c r="H176" s="182" t="str">
        <x:v>nein</x:v>
      </x:c>
      <x:c r="I176" s="182" t="str">
        <x:v>nein</x:v>
      </x:c>
      <x:c r="J176" s="182" t="str">
        <x:f>"nicht Voraussetzung"</x:f>
        <x:v>nicht Voraussetzung</x:v>
      </x:c>
      <x:c r="K176" s="190" t="n">
        <x:f>IF(G176="definiert",F176-E176,"")</x:f>
        <x:v>56</x:v>
      </x:c>
      <x:c r="L176" s="182" t="n">
        <x:v>39</x:v>
      </x:c>
      <x:c r="M176" s="182" t="str">
        <x:f>IF('Stationen Abfrage dataprocessor'!$K$39="","",'Stationen Abfrage dataprocessor'!$K$39)</x:f>
      </x:c>
      <x:c r="N176" s="182" t="str">
        <x:f>Definitionen!$B$2</x:f>
        <x:v>IP-COHORT-2026-10-28-01</x:v>
      </x:c>
    </x:row>
    <x:row r="177" ht="30" customHeight="1">
      <x:c r="A177" s="182" t="str">
        <x:f>'Stationen Abfrage dataprocessor'!$A$39</x:f>
        <x:v>UK Gießen</x:v>
      </x:c>
      <x:c r="B177" s="182" t="str">
        <x:f>'Stationen Abfrage dataprocessor'!$D$39</x:f>
        <x:v>Station 4.3</x:v>
      </x:c>
      <x:c r="C177" s="182" t="str">
        <x:v>CRS-B</x:v>
      </x:c>
      <x:c r="D177" s="182" t="str">
        <x:f>'Stationen Abfrage dataprocessor'!$O$39</x:f>
        <x:v>ja</x:v>
      </x:c>
      <x:c r="E177" s="189" t="n">
        <x:f>IF(G177="definiert",MAX('Stationen Abfrage dataprocessor'!$E$39,'Stationen Abfrage dataprocessor'!$G$39),"")</x:f>
        <x:v>46073</x:v>
      </x:c>
      <x:c r="F177" s="189" t="n">
        <x:f>IF(G177="definiert",'Stationen Abfrage dataprocessor'!$H$39+1,"")</x:f>
        <x:v>46266</x:v>
      </x:c>
      <x:c r="G177" s="182" t="str">
        <x:f>IF(D177="nein","nicht_anwendbar",IF(D177&lt;&gt;"ja","Konfiguration fehlt",IF(OR(NOT(ISNUMBER('Stationen Abfrage dataprocessor'!$E$39)),NOT(ISNUMBER('Stationen Abfrage dataprocessor'!$G$39)),NOT(ISNUMBER('Stationen Abfrage dataprocessor'!$H$39))),"Konfiguration fehlt",IF(('Stationen Abfrage dataprocessor'!$H$39+1)&lt;=(MAX('Stationen Abfrage dataprocessor'!$E$39,'Stationen Abfrage dataprocessor'!$G$39)),"kein_beobachtetes_fenster","definiert"))))</x:f>
        <x:v>definiert</x:v>
      </x:c>
      <x:c r="H177" s="182" t="str">
        <x:v>nein</x:v>
      </x:c>
      <x:c r="I177" s="182" t="str">
        <x:v>nein</x:v>
      </x:c>
      <x:c r="J177" s="182" t="str">
        <x:f>'Stationen Abfrage dataprocessor'!$S$39</x:f>
        <x:v>fallbezogen prüfen</x:v>
      </x:c>
      <x:c r="K177" s="190" t="n">
        <x:f>IF(G177="definiert",F177-E177,"")</x:f>
        <x:v>193</x:v>
      </x:c>
      <x:c r="L177" s="182" t="n">
        <x:v>39</x:v>
      </x:c>
      <x:c r="M177" s="182" t="str">
        <x:f>IF('Stationen Abfrage dataprocessor'!$K$39="","",'Stationen Abfrage dataprocessor'!$K$39)</x:f>
      </x:c>
      <x:c r="N177" s="182" t="str">
        <x:f>Definitionen!$B$2</x:f>
        <x:v>IP-COHORT-2026-10-28-01</x:v>
      </x:c>
    </x:row>
    <x:row r="178" ht="30" customHeight="1">
      <x:c r="A178" s="182" t="str">
        <x:f>'Stationen Abfrage dataprocessor'!$A$39</x:f>
        <x:v>UK Gießen</x:v>
      </x:c>
      <x:c r="B178" s="182" t="str">
        <x:f>'Stationen Abfrage dataprocessor'!$D$39</x:f>
        <x:v>Station 4.3</x:v>
      </x:c>
      <x:c r="C178" s="182" t="str">
        <x:v>RES</x:v>
      </x:c>
      <x:c r="D178" s="182" t="str">
        <x:f>'Stationen Abfrage dataprocessor'!$P$39</x:f>
        <x:v>ja</x:v>
      </x:c>
      <x:c r="E178" s="189" t="n">
        <x:f>IF(G178="definiert",MAX('Stationen Abfrage dataprocessor'!$E$39,'Stationen Abfrage dataprocessor'!$G$39),"")</x:f>
        <x:v>46073</x:v>
      </x:c>
      <x:c r="F178" s="189" t="n">
        <x:f>IF(G178="definiert",'Stationen Abfrage dataprocessor'!$H$39+1,"")</x:f>
        <x:v>46266</x:v>
      </x:c>
      <x:c r="G178" s="182" t="str">
        <x:f>IF(D178="nein","nicht_anwendbar",IF(D178&lt;&gt;"ja","Konfiguration fehlt",IF(OR(NOT(ISNUMBER('Stationen Abfrage dataprocessor'!$E$39)),NOT(ISNUMBER('Stationen Abfrage dataprocessor'!$G$39)),NOT(ISNUMBER('Stationen Abfrage dataprocessor'!$H$39))),"Konfiguration fehlt",IF(('Stationen Abfrage dataprocessor'!$H$39+1)&lt;=(MAX('Stationen Abfrage dataprocessor'!$E$39,'Stationen Abfrage dataprocessor'!$G$39)),"kein_beobachtetes_fenster","definiert"))))</x:f>
        <x:v>definiert</x:v>
      </x:c>
      <x:c r="H178" s="182" t="str">
        <x:v>ja</x:v>
      </x:c>
      <x:c r="I178" s="182" t="str">
        <x:v>ja</x:v>
      </x:c>
      <x:c r="J178" s="182" t="str">
        <x:f>'Stationen Abfrage dataprocessor'!$S$39</x:f>
        <x:v>fallbezogen prüfen</x:v>
      </x:c>
      <x:c r="K178" s="190" t="n">
        <x:f>IF(G178="definiert",F178-E178,"")</x:f>
        <x:v>193</x:v>
      </x:c>
      <x:c r="L178" s="182" t="n">
        <x:v>39</x:v>
      </x:c>
      <x:c r="M178" s="182" t="str">
        <x:f>IF('Stationen Abfrage dataprocessor'!$K$39="","",'Stationen Abfrage dataprocessor'!$K$39)</x:f>
      </x:c>
      <x:c r="N178" s="182" t="str">
        <x:f>Definitionen!$B$2</x:f>
        <x:v>IP-COHORT-2026-10-28-01</x:v>
      </x:c>
    </x:row>
    <x:row r="179" ht="30" customHeight="1">
      <x:c r="A179" s="182" t="str">
        <x:f>'Stationen Abfrage dataprocessor'!$A$39</x:f>
        <x:v>UK Gießen</x:v>
      </x:c>
      <x:c r="B179" s="182" t="str">
        <x:f>'Stationen Abfrage dataprocessor'!$D$39</x:f>
        <x:v>Station 4.3</x:v>
      </x:c>
      <x:c r="C179" s="182" t="str">
        <x:v>TRS</x:v>
      </x:c>
      <x:c r="D179" s="182" t="str">
        <x:f>'Stationen Abfrage dataprocessor'!$Q$39</x:f>
        <x:v>ja</x:v>
      </x:c>
      <x:c r="E179" s="189" t="n">
        <x:f>IF(G179="definiert",'Stationen Abfrage dataprocessor'!$E$39,"")</x:f>
        <x:v>45778</x:v>
      </x:c>
      <x:c r="F179" s="189" t="n">
        <x:f>IF(G179="definiert",'Stationen Abfrage dataprocessor'!$H$39+1,"")</x:f>
        <x:v>46266</x:v>
      </x:c>
      <x:c r="G179" s="182" t="str">
        <x:f>IF(D179="nein","nicht_anwendbar",IF(D179&lt;&gt;"ja","Konfiguration fehlt",IF(OR(NOT(ISNUMBER('Stationen Abfrage dataprocessor'!$E$39)),NOT(ISNUMBER('Stationen Abfrage dataprocessor'!$H$39))),"Konfiguration fehlt",IF(('Stationen Abfrage dataprocessor'!$H$39+1)&lt;=('Stationen Abfrage dataprocessor'!$E$39),"kein_beobachtetes_fenster","definiert"))))</x:f>
        <x:v>definiert</x:v>
      </x:c>
      <x:c r="H179" s="182" t="str">
        <x:v>ja</x:v>
      </x:c>
      <x:c r="I179" s="182" t="str">
        <x:v>nein</x:v>
      </x:c>
      <x:c r="J179" s="182" t="str">
        <x:f>"nicht Voraussetzung"</x:f>
        <x:v>nicht Voraussetzung</x:v>
      </x:c>
      <x:c r="K179" s="190" t="n">
        <x:f>IF(G179="definiert",F179-E179,"")</x:f>
        <x:v>488</x:v>
      </x:c>
      <x:c r="L179" s="182" t="n">
        <x:v>39</x:v>
      </x:c>
      <x:c r="M179" s="182" t="str">
        <x:f>IF('Stationen Abfrage dataprocessor'!$K$39="","",'Stationen Abfrage dataprocessor'!$K$39)</x:f>
      </x:c>
      <x:c r="N179" s="182" t="str">
        <x:f>Definitionen!$B$2</x:f>
        <x:v>IP-COHORT-2026-10-28-01</x:v>
      </x:c>
    </x:row>
    <x:row r="180" ht="30" customHeight="1">
      <x:c r="A180" s="182" t="str">
        <x:f>'Stationen Abfrage dataprocessor'!$A$40</x:f>
        <x:v>UK Gießen</x:v>
      </x:c>
      <x:c r="B180" s="182" t="str">
        <x:f>'Stationen Abfrage dataprocessor'!$D$40</x:f>
        <x:v>Station 9 ACH</x:v>
      </x:c>
      <x:c r="C180" s="182" t="str">
        <x:v>BS</x:v>
      </x:c>
      <x:c r="D180" s="182" t="str">
        <x:f>'Stationen Abfrage dataprocessor'!$M$40</x:f>
        <x:v>ja</x:v>
      </x:c>
      <x:c r="E180" s="189" t="n">
        <x:f>IF(G180="definiert",'Stationen Abfrage dataprocessor'!$E$40,"")</x:f>
        <x:v>45778</x:v>
      </x:c>
      <x:c r="F180" s="189" t="n">
        <x:f>IF(G180="definiert",IF('Stationen Abfrage dataprocessor'!$T$40="Studienende",'Stationen Abfrage dataprocessor'!$H$40+1,MIN('Stationen Abfrage dataprocessor'!$F$40,'Stationen Abfrage dataprocessor'!$H$40+1)),"")</x:f>
        <x:v>46017</x:v>
      </x:c>
      <x:c r="G180" s="182" t="str">
        <x:f>IF(D180="nein","nicht_anwendbar",IF(D180&lt;&gt;"ja","Konfiguration fehlt",IF(OR(NOT(ISNUMBER('Stationen Abfrage dataprocessor'!$E$40)),NOT(ISNUMBER('Stationen Abfrage dataprocessor'!$H$40)),AND('Stationen Abfrage dataprocessor'!$T$40&lt;&gt;"Phasengrenze",'Stationen Abfrage dataprocessor'!$T$40&lt;&gt;"Studienende"),AND('Stationen Abfrage dataprocessor'!$T$40="Phasengrenze",NOT(ISNUMBER('Stationen Abfrage dataprocessor'!$F$40)))),"Konfiguration fehlt",IF((IF('Stationen Abfrage dataprocessor'!$T$40="Studienende",'Stationen Abfrage dataprocessor'!$H$40+1,MIN('Stationen Abfrage dataprocessor'!$F$40,'Stationen Abfrage dataprocessor'!$H$40+1)))&lt;=('Stationen Abfrage dataprocessor'!$E$40),"kein_beobachtetes_fenster","definiert"))))</x:f>
        <x:v>definiert</x:v>
      </x:c>
      <x:c r="H180" s="182" t="str">
        <x:v>nein</x:v>
      </x:c>
      <x:c r="I180" s="182" t="str">
        <x:v>nein</x:v>
      </x:c>
      <x:c r="J180" s="182" t="str">
        <x:f>"nicht Voraussetzung"</x:f>
        <x:v>nicht Voraussetzung</x:v>
      </x:c>
      <x:c r="K180" s="190" t="n">
        <x:f>IF(G180="definiert",F180-E180,"")</x:f>
        <x:v>239</x:v>
      </x:c>
      <x:c r="L180" s="182" t="n">
        <x:v>40</x:v>
      </x:c>
      <x:c r="M180" s="182" t="str">
        <x:f>IF('Stationen Abfrage dataprocessor'!$K$40="","",'Stationen Abfrage dataprocessor'!$K$40)</x:f>
      </x:c>
      <x:c r="N180" s="182" t="str">
        <x:f>Definitionen!$B$2</x:f>
        <x:v>IP-COHORT-2026-10-28-01</x:v>
      </x:c>
    </x:row>
    <x:row r="181" ht="30" customHeight="1">
      <x:c r="A181" s="182" t="str">
        <x:f>'Stationen Abfrage dataprocessor'!$A$40</x:f>
        <x:v>UK Gießen</x:v>
      </x:c>
      <x:c r="B181" s="182" t="str">
        <x:f>'Stationen Abfrage dataprocessor'!$D$40</x:f>
        <x:v>Station 9 ACH</x:v>
      </x:c>
      <x:c r="C181" s="182" t="str">
        <x:v>CRS-A</x:v>
      </x:c>
      <x:c r="D181" s="182" t="str">
        <x:f>'Stationen Abfrage dataprocessor'!$N$40</x:f>
        <x:v>ja</x:v>
      </x:c>
      <x:c r="E181" s="189" t="n">
        <x:f>IF(G181="definiert",MAX('Stationen Abfrage dataprocessor'!$E$40,'Stationen Abfrage dataprocessor'!$F$40),"")</x:f>
        <x:v>46017</x:v>
      </x:c>
      <x:c r="F181" s="189" t="n">
        <x:f>IF(G181="definiert",MIN('Stationen Abfrage dataprocessor'!$G$40,'Stationen Abfrage dataprocessor'!$H$40+1),"")</x:f>
        <x:v>46073</x:v>
      </x:c>
      <x:c r="G181" s="182" t="str">
        <x:f>IF(D181="nein","nicht_anwendbar",IF(D181&lt;&gt;"ja","Konfiguration fehlt",IF(OR(NOT(ISNUMBER('Stationen Abfrage dataprocessor'!$E$40)),NOT(ISNUMBER('Stationen Abfrage dataprocessor'!$F$40)),NOT(ISNUMBER('Stationen Abfrage dataprocessor'!$G$40)),NOT(ISNUMBER('Stationen Abfrage dataprocessor'!$H$40))),"Konfiguration fehlt",IF((MIN('Stationen Abfrage dataprocessor'!$G$40,'Stationen Abfrage dataprocessor'!$H$40+1))&lt;=(MAX('Stationen Abfrage dataprocessor'!$E$40,'Stationen Abfrage dataprocessor'!$F$40)),"kein_beobachtetes_fenster","definiert"))))</x:f>
        <x:v>definiert</x:v>
      </x:c>
      <x:c r="H181" s="182" t="str">
        <x:v>nein</x:v>
      </x:c>
      <x:c r="I181" s="182" t="str">
        <x:v>nein</x:v>
      </x:c>
      <x:c r="J181" s="182" t="str">
        <x:f>"nicht Voraussetzung"</x:f>
        <x:v>nicht Voraussetzung</x:v>
      </x:c>
      <x:c r="K181" s="190" t="n">
        <x:f>IF(G181="definiert",F181-E181,"")</x:f>
        <x:v>56</x:v>
      </x:c>
      <x:c r="L181" s="182" t="n">
        <x:v>40</x:v>
      </x:c>
      <x:c r="M181" s="182" t="str">
        <x:f>IF('Stationen Abfrage dataprocessor'!$K$40="","",'Stationen Abfrage dataprocessor'!$K$40)</x:f>
      </x:c>
      <x:c r="N181" s="182" t="str">
        <x:f>Definitionen!$B$2</x:f>
        <x:v>IP-COHORT-2026-10-28-01</x:v>
      </x:c>
    </x:row>
    <x:row r="182" ht="30" customHeight="1">
      <x:c r="A182" s="182" t="str">
        <x:f>'Stationen Abfrage dataprocessor'!$A$40</x:f>
        <x:v>UK Gießen</x:v>
      </x:c>
      <x:c r="B182" s="182" t="str">
        <x:f>'Stationen Abfrage dataprocessor'!$D$40</x:f>
        <x:v>Station 9 ACH</x:v>
      </x:c>
      <x:c r="C182" s="182" t="str">
        <x:v>CRS-B</x:v>
      </x:c>
      <x:c r="D182" s="182" t="str">
        <x:f>'Stationen Abfrage dataprocessor'!$O$40</x:f>
        <x:v>ja</x:v>
      </x:c>
      <x:c r="E182" s="189" t="n">
        <x:f>IF(G182="definiert",MAX('Stationen Abfrage dataprocessor'!$E$40,'Stationen Abfrage dataprocessor'!$G$40),"")</x:f>
        <x:v>46073</x:v>
      </x:c>
      <x:c r="F182" s="189" t="n">
        <x:f>IF(G182="definiert",'Stationen Abfrage dataprocessor'!$H$40+1,"")</x:f>
        <x:v>46266</x:v>
      </x:c>
      <x:c r="G182" s="182" t="str">
        <x:f>IF(D182="nein","nicht_anwendbar",IF(D182&lt;&gt;"ja","Konfiguration fehlt",IF(OR(NOT(ISNUMBER('Stationen Abfrage dataprocessor'!$E$40)),NOT(ISNUMBER('Stationen Abfrage dataprocessor'!$G$40)),NOT(ISNUMBER('Stationen Abfrage dataprocessor'!$H$40))),"Konfiguration fehlt",IF(('Stationen Abfrage dataprocessor'!$H$40+1)&lt;=(MAX('Stationen Abfrage dataprocessor'!$E$40,'Stationen Abfrage dataprocessor'!$G$40)),"kein_beobachtetes_fenster","definiert"))))</x:f>
        <x:v>definiert</x:v>
      </x:c>
      <x:c r="H182" s="182" t="str">
        <x:v>nein</x:v>
      </x:c>
      <x:c r="I182" s="182" t="str">
        <x:v>nein</x:v>
      </x:c>
      <x:c r="J182" s="182" t="str">
        <x:f>'Stationen Abfrage dataprocessor'!$S$40</x:f>
        <x:v>fallbezogen prüfen</x:v>
      </x:c>
      <x:c r="K182" s="190" t="n">
        <x:f>IF(G182="definiert",F182-E182,"")</x:f>
        <x:v>193</x:v>
      </x:c>
      <x:c r="L182" s="182" t="n">
        <x:v>40</x:v>
      </x:c>
      <x:c r="M182" s="182" t="str">
        <x:f>IF('Stationen Abfrage dataprocessor'!$K$40="","",'Stationen Abfrage dataprocessor'!$K$40)</x:f>
      </x:c>
      <x:c r="N182" s="182" t="str">
        <x:f>Definitionen!$B$2</x:f>
        <x:v>IP-COHORT-2026-10-28-01</x:v>
      </x:c>
    </x:row>
    <x:row r="183" ht="30" customHeight="1">
      <x:c r="A183" s="182" t="str">
        <x:f>'Stationen Abfrage dataprocessor'!$A$40</x:f>
        <x:v>UK Gießen</x:v>
      </x:c>
      <x:c r="B183" s="182" t="str">
        <x:f>'Stationen Abfrage dataprocessor'!$D$40</x:f>
        <x:v>Station 9 ACH</x:v>
      </x:c>
      <x:c r="C183" s="182" t="str">
        <x:v>RES</x:v>
      </x:c>
      <x:c r="D183" s="182" t="str">
        <x:f>'Stationen Abfrage dataprocessor'!$P$40</x:f>
        <x:v>ja</x:v>
      </x:c>
      <x:c r="E183" s="189" t="n">
        <x:f>IF(G183="definiert",MAX('Stationen Abfrage dataprocessor'!$E$40,'Stationen Abfrage dataprocessor'!$G$40),"")</x:f>
        <x:v>46073</x:v>
      </x:c>
      <x:c r="F183" s="189" t="n">
        <x:f>IF(G183="definiert",'Stationen Abfrage dataprocessor'!$H$40+1,"")</x:f>
        <x:v>46266</x:v>
      </x:c>
      <x:c r="G183" s="182" t="str">
        <x:f>IF(D183="nein","nicht_anwendbar",IF(D183&lt;&gt;"ja","Konfiguration fehlt",IF(OR(NOT(ISNUMBER('Stationen Abfrage dataprocessor'!$E$40)),NOT(ISNUMBER('Stationen Abfrage dataprocessor'!$G$40)),NOT(ISNUMBER('Stationen Abfrage dataprocessor'!$H$40))),"Konfiguration fehlt",IF(('Stationen Abfrage dataprocessor'!$H$40+1)&lt;=(MAX('Stationen Abfrage dataprocessor'!$E$40,'Stationen Abfrage dataprocessor'!$G$40)),"kein_beobachtetes_fenster","definiert"))))</x:f>
        <x:v>definiert</x:v>
      </x:c>
      <x:c r="H183" s="182" t="str">
        <x:v>ja</x:v>
      </x:c>
      <x:c r="I183" s="182" t="str">
        <x:v>ja</x:v>
      </x:c>
      <x:c r="J183" s="182" t="str">
        <x:f>'Stationen Abfrage dataprocessor'!$S$40</x:f>
        <x:v>fallbezogen prüfen</x:v>
      </x:c>
      <x:c r="K183" s="190" t="n">
        <x:f>IF(G183="definiert",F183-E183,"")</x:f>
        <x:v>193</x:v>
      </x:c>
      <x:c r="L183" s="182" t="n">
        <x:v>40</x:v>
      </x:c>
      <x:c r="M183" s="182" t="str">
        <x:f>IF('Stationen Abfrage dataprocessor'!$K$40="","",'Stationen Abfrage dataprocessor'!$K$40)</x:f>
      </x:c>
      <x:c r="N183" s="182" t="str">
        <x:f>Definitionen!$B$2</x:f>
        <x:v>IP-COHORT-2026-10-28-01</x:v>
      </x:c>
    </x:row>
    <x:row r="184" ht="30" customHeight="1">
      <x:c r="A184" s="182" t="str">
        <x:f>'Stationen Abfrage dataprocessor'!$A$40</x:f>
        <x:v>UK Gießen</x:v>
      </x:c>
      <x:c r="B184" s="182" t="str">
        <x:f>'Stationen Abfrage dataprocessor'!$D$40</x:f>
        <x:v>Station 9 ACH</x:v>
      </x:c>
      <x:c r="C184" s="182" t="str">
        <x:v>TRS</x:v>
      </x:c>
      <x:c r="D184" s="182" t="str">
        <x:f>'Stationen Abfrage dataprocessor'!$Q$40</x:f>
        <x:v>ja</x:v>
      </x:c>
      <x:c r="E184" s="189" t="n">
        <x:f>IF(G184="definiert",'Stationen Abfrage dataprocessor'!$E$40,"")</x:f>
        <x:v>45778</x:v>
      </x:c>
      <x:c r="F184" s="189" t="n">
        <x:f>IF(G184="definiert",'Stationen Abfrage dataprocessor'!$H$40+1,"")</x:f>
        <x:v>46266</x:v>
      </x:c>
      <x:c r="G184" s="182" t="str">
        <x:f>IF(D184="nein","nicht_anwendbar",IF(D184&lt;&gt;"ja","Konfiguration fehlt",IF(OR(NOT(ISNUMBER('Stationen Abfrage dataprocessor'!$E$40)),NOT(ISNUMBER('Stationen Abfrage dataprocessor'!$H$40))),"Konfiguration fehlt",IF(('Stationen Abfrage dataprocessor'!$H$40+1)&lt;=('Stationen Abfrage dataprocessor'!$E$40),"kein_beobachtetes_fenster","definiert"))))</x:f>
        <x:v>definiert</x:v>
      </x:c>
      <x:c r="H184" s="182" t="str">
        <x:v>ja</x:v>
      </x:c>
      <x:c r="I184" s="182" t="str">
        <x:v>nein</x:v>
      </x:c>
      <x:c r="J184" s="182" t="str">
        <x:f>"nicht Voraussetzung"</x:f>
        <x:v>nicht Voraussetzung</x:v>
      </x:c>
      <x:c r="K184" s="190" t="n">
        <x:f>IF(G184="definiert",F184-E184,"")</x:f>
        <x:v>488</x:v>
      </x:c>
      <x:c r="L184" s="182" t="n">
        <x:v>40</x:v>
      </x:c>
      <x:c r="M184" s="182" t="str">
        <x:f>IF('Stationen Abfrage dataprocessor'!$K$40="","",'Stationen Abfrage dataprocessor'!$K$40)</x:f>
      </x:c>
      <x:c r="N184" s="182" t="str">
        <x:f>Definitionen!$B$2</x:f>
        <x:v>IP-COHORT-2026-10-28-01</x:v>
      </x:c>
    </x:row>
    <x:row r="185" ht="30" customHeight="1">
      <x:c r="A185" s="182" t="str">
        <x:f>'Stationen Abfrage dataprocessor'!$A$41</x:f>
        <x:v>UK Gießen</x:v>
      </x:c>
      <x:c r="B185" s="182" t="str">
        <x:f>'Stationen Abfrage dataprocessor'!$D$41</x:f>
        <x:v>Station Senning (5)</x:v>
      </x:c>
      <x:c r="C185" s="182" t="str">
        <x:v>BS</x:v>
      </x:c>
      <x:c r="D185" s="182" t="str">
        <x:f>'Stationen Abfrage dataprocessor'!$M$41</x:f>
        <x:v>ja</x:v>
      </x:c>
      <x:c r="E185" s="189" t="n">
        <x:f>IF(G185="definiert",'Stationen Abfrage dataprocessor'!$E$41,"")</x:f>
        <x:v>45778</x:v>
      </x:c>
      <x:c r="F185" s="189" t="n">
        <x:f>IF(G185="definiert",IF('Stationen Abfrage dataprocessor'!$T$41="Studienende",'Stationen Abfrage dataprocessor'!$H$41+1,MIN('Stationen Abfrage dataprocessor'!$F$41,'Stationen Abfrage dataprocessor'!$H$41+1)),"")</x:f>
        <x:v>46017</x:v>
      </x:c>
      <x:c r="G185" s="182" t="str">
        <x:f>IF(D185="nein","nicht_anwendbar",IF(D185&lt;&gt;"ja","Konfiguration fehlt",IF(OR(NOT(ISNUMBER('Stationen Abfrage dataprocessor'!$E$41)),NOT(ISNUMBER('Stationen Abfrage dataprocessor'!$H$41)),AND('Stationen Abfrage dataprocessor'!$T$41&lt;&gt;"Phasengrenze",'Stationen Abfrage dataprocessor'!$T$41&lt;&gt;"Studienende"),AND('Stationen Abfrage dataprocessor'!$T$41="Phasengrenze",NOT(ISNUMBER('Stationen Abfrage dataprocessor'!$F$41)))),"Konfiguration fehlt",IF((IF('Stationen Abfrage dataprocessor'!$T$41="Studienende",'Stationen Abfrage dataprocessor'!$H$41+1,MIN('Stationen Abfrage dataprocessor'!$F$41,'Stationen Abfrage dataprocessor'!$H$41+1)))&lt;=('Stationen Abfrage dataprocessor'!$E$41),"kein_beobachtetes_fenster","definiert"))))</x:f>
        <x:v>definiert</x:v>
      </x:c>
      <x:c r="H185" s="182" t="str">
        <x:v>nein</x:v>
      </x:c>
      <x:c r="I185" s="182" t="str">
        <x:v>nein</x:v>
      </x:c>
      <x:c r="J185" s="182" t="str">
        <x:f>"nicht Voraussetzung"</x:f>
        <x:v>nicht Voraussetzung</x:v>
      </x:c>
      <x:c r="K185" s="190" t="n">
        <x:f>IF(G185="definiert",F185-E185,"")</x:f>
        <x:v>239</x:v>
      </x:c>
      <x:c r="L185" s="182" t="n">
        <x:v>41</x:v>
      </x:c>
      <x:c r="M185" s="182" t="str">
        <x:f>IF('Stationen Abfrage dataprocessor'!$K$41="","",'Stationen Abfrage dataprocessor'!$K$41)</x:f>
      </x:c>
      <x:c r="N185" s="182" t="str">
        <x:f>Definitionen!$B$2</x:f>
        <x:v>IP-COHORT-2026-10-28-01</x:v>
      </x:c>
    </x:row>
    <x:row r="186" ht="30" customHeight="1">
      <x:c r="A186" s="182" t="str">
        <x:f>'Stationen Abfrage dataprocessor'!$A$41</x:f>
        <x:v>UK Gießen</x:v>
      </x:c>
      <x:c r="B186" s="182" t="str">
        <x:f>'Stationen Abfrage dataprocessor'!$D$41</x:f>
        <x:v>Station Senning (5)</x:v>
      </x:c>
      <x:c r="C186" s="182" t="str">
        <x:v>CRS-A</x:v>
      </x:c>
      <x:c r="D186" s="182" t="str">
        <x:f>'Stationen Abfrage dataprocessor'!$N$41</x:f>
        <x:v>ja</x:v>
      </x:c>
      <x:c r="E186" s="189" t="n">
        <x:f>IF(G186="definiert",MAX('Stationen Abfrage dataprocessor'!$E$41,'Stationen Abfrage dataprocessor'!$F$41),"")</x:f>
        <x:v>46017</x:v>
      </x:c>
      <x:c r="F186" s="189" t="n">
        <x:f>IF(G186="definiert",MIN('Stationen Abfrage dataprocessor'!$G$41,'Stationen Abfrage dataprocessor'!$H$41+1),"")</x:f>
        <x:v>46101</x:v>
      </x:c>
      <x:c r="G186" s="182" t="str">
        <x:f>IF(D186="nein","nicht_anwendbar",IF(D186&lt;&gt;"ja","Konfiguration fehlt",IF(OR(NOT(ISNUMBER('Stationen Abfrage dataprocessor'!$E$41)),NOT(ISNUMBER('Stationen Abfrage dataprocessor'!$F$41)),NOT(ISNUMBER('Stationen Abfrage dataprocessor'!$G$41)),NOT(ISNUMBER('Stationen Abfrage dataprocessor'!$H$41))),"Konfiguration fehlt",IF((MIN('Stationen Abfrage dataprocessor'!$G$41,'Stationen Abfrage dataprocessor'!$H$41+1))&lt;=(MAX('Stationen Abfrage dataprocessor'!$E$41,'Stationen Abfrage dataprocessor'!$F$41)),"kein_beobachtetes_fenster","definiert"))))</x:f>
        <x:v>definiert</x:v>
      </x:c>
      <x:c r="H186" s="182" t="str">
        <x:v>nein</x:v>
      </x:c>
      <x:c r="I186" s="182" t="str">
        <x:v>nein</x:v>
      </x:c>
      <x:c r="J186" s="182" t="str">
        <x:f>"nicht Voraussetzung"</x:f>
        <x:v>nicht Voraussetzung</x:v>
      </x:c>
      <x:c r="K186" s="190" t="n">
        <x:f>IF(G186="definiert",F186-E186,"")</x:f>
        <x:v>84</x:v>
      </x:c>
      <x:c r="L186" s="182" t="n">
        <x:v>41</x:v>
      </x:c>
      <x:c r="M186" s="182" t="str">
        <x:f>IF('Stationen Abfrage dataprocessor'!$K$41="","",'Stationen Abfrage dataprocessor'!$K$41)</x:f>
      </x:c>
      <x:c r="N186" s="182" t="str">
        <x:f>Definitionen!$B$2</x:f>
        <x:v>IP-COHORT-2026-10-28-01</x:v>
      </x:c>
    </x:row>
    <x:row r="187" ht="30" customHeight="1">
      <x:c r="A187" s="182" t="str">
        <x:f>'Stationen Abfrage dataprocessor'!$A$41</x:f>
        <x:v>UK Gießen</x:v>
      </x:c>
      <x:c r="B187" s="182" t="str">
        <x:f>'Stationen Abfrage dataprocessor'!$D$41</x:f>
        <x:v>Station Senning (5)</x:v>
      </x:c>
      <x:c r="C187" s="182" t="str">
        <x:v>CRS-B</x:v>
      </x:c>
      <x:c r="D187" s="182" t="str">
        <x:f>'Stationen Abfrage dataprocessor'!$O$41</x:f>
        <x:v>ja</x:v>
      </x:c>
      <x:c r="E187" s="189" t="n">
        <x:f>IF(G187="definiert",MAX('Stationen Abfrage dataprocessor'!$E$41,'Stationen Abfrage dataprocessor'!$G$41),"")</x:f>
        <x:v>46101</x:v>
      </x:c>
      <x:c r="F187" s="189" t="n">
        <x:f>IF(G187="definiert",'Stationen Abfrage dataprocessor'!$H$41+1,"")</x:f>
        <x:v>46266</x:v>
      </x:c>
      <x:c r="G187" s="182" t="str">
        <x:f>IF(D187="nein","nicht_anwendbar",IF(D187&lt;&gt;"ja","Konfiguration fehlt",IF(OR(NOT(ISNUMBER('Stationen Abfrage dataprocessor'!$E$41)),NOT(ISNUMBER('Stationen Abfrage dataprocessor'!$G$41)),NOT(ISNUMBER('Stationen Abfrage dataprocessor'!$H$41))),"Konfiguration fehlt",IF(('Stationen Abfrage dataprocessor'!$H$41+1)&lt;=(MAX('Stationen Abfrage dataprocessor'!$E$41,'Stationen Abfrage dataprocessor'!$G$41)),"kein_beobachtetes_fenster","definiert"))))</x:f>
        <x:v>definiert</x:v>
      </x:c>
      <x:c r="H187" s="182" t="str">
        <x:v>nein</x:v>
      </x:c>
      <x:c r="I187" s="182" t="str">
        <x:v>nein</x:v>
      </x:c>
      <x:c r="J187" s="182" t="str">
        <x:f>'Stationen Abfrage dataprocessor'!$S$41</x:f>
        <x:v>fallbezogen prüfen</x:v>
      </x:c>
      <x:c r="K187" s="190" t="n">
        <x:f>IF(G187="definiert",F187-E187,"")</x:f>
        <x:v>165</x:v>
      </x:c>
      <x:c r="L187" s="182" t="n">
        <x:v>41</x:v>
      </x:c>
      <x:c r="M187" s="182" t="str">
        <x:f>IF('Stationen Abfrage dataprocessor'!$K$41="","",'Stationen Abfrage dataprocessor'!$K$41)</x:f>
      </x:c>
      <x:c r="N187" s="182" t="str">
        <x:f>Definitionen!$B$2</x:f>
        <x:v>IP-COHORT-2026-10-28-01</x:v>
      </x:c>
    </x:row>
    <x:row r="188" ht="30" customHeight="1">
      <x:c r="A188" s="182" t="str">
        <x:f>'Stationen Abfrage dataprocessor'!$A$41</x:f>
        <x:v>UK Gießen</x:v>
      </x:c>
      <x:c r="B188" s="182" t="str">
        <x:f>'Stationen Abfrage dataprocessor'!$D$41</x:f>
        <x:v>Station Senning (5)</x:v>
      </x:c>
      <x:c r="C188" s="182" t="str">
        <x:v>RES</x:v>
      </x:c>
      <x:c r="D188" s="182" t="str">
        <x:f>'Stationen Abfrage dataprocessor'!$P$41</x:f>
        <x:v>ja</x:v>
      </x:c>
      <x:c r="E188" s="189" t="n">
        <x:f>IF(G188="definiert",MAX('Stationen Abfrage dataprocessor'!$E$41,'Stationen Abfrage dataprocessor'!$G$41),"")</x:f>
        <x:v>46101</x:v>
      </x:c>
      <x:c r="F188" s="189" t="n">
        <x:f>IF(G188="definiert",'Stationen Abfrage dataprocessor'!$H$41+1,"")</x:f>
        <x:v>46266</x:v>
      </x:c>
      <x:c r="G188" s="182" t="str">
        <x:f>IF(D188="nein","nicht_anwendbar",IF(D188&lt;&gt;"ja","Konfiguration fehlt",IF(OR(NOT(ISNUMBER('Stationen Abfrage dataprocessor'!$E$41)),NOT(ISNUMBER('Stationen Abfrage dataprocessor'!$G$41)),NOT(ISNUMBER('Stationen Abfrage dataprocessor'!$H$41))),"Konfiguration fehlt",IF(('Stationen Abfrage dataprocessor'!$H$41+1)&lt;=(MAX('Stationen Abfrage dataprocessor'!$E$41,'Stationen Abfrage dataprocessor'!$G$41)),"kein_beobachtetes_fenster","definiert"))))</x:f>
        <x:v>definiert</x:v>
      </x:c>
      <x:c r="H188" s="182" t="str">
        <x:v>ja</x:v>
      </x:c>
      <x:c r="I188" s="182" t="str">
        <x:v>ja</x:v>
      </x:c>
      <x:c r="J188" s="182" t="str">
        <x:f>'Stationen Abfrage dataprocessor'!$S$41</x:f>
        <x:v>fallbezogen prüfen</x:v>
      </x:c>
      <x:c r="K188" s="190" t="n">
        <x:f>IF(G188="definiert",F188-E188,"")</x:f>
        <x:v>165</x:v>
      </x:c>
      <x:c r="L188" s="182" t="n">
        <x:v>41</x:v>
      </x:c>
      <x:c r="M188" s="182" t="str">
        <x:f>IF('Stationen Abfrage dataprocessor'!$K$41="","",'Stationen Abfrage dataprocessor'!$K$41)</x:f>
      </x:c>
      <x:c r="N188" s="182" t="str">
        <x:f>Definitionen!$B$2</x:f>
        <x:v>IP-COHORT-2026-10-28-01</x:v>
      </x:c>
    </x:row>
    <x:row r="189" ht="30" customHeight="1">
      <x:c r="A189" s="182" t="str">
        <x:f>'Stationen Abfrage dataprocessor'!$A$41</x:f>
        <x:v>UK Gießen</x:v>
      </x:c>
      <x:c r="B189" s="182" t="str">
        <x:f>'Stationen Abfrage dataprocessor'!$D$41</x:f>
        <x:v>Station Senning (5)</x:v>
      </x:c>
      <x:c r="C189" s="182" t="str">
        <x:v>TRS</x:v>
      </x:c>
      <x:c r="D189" s="182" t="str">
        <x:f>'Stationen Abfrage dataprocessor'!$Q$41</x:f>
        <x:v>ja</x:v>
      </x:c>
      <x:c r="E189" s="189" t="n">
        <x:f>IF(G189="definiert",'Stationen Abfrage dataprocessor'!$E$41,"")</x:f>
        <x:v>45778</x:v>
      </x:c>
      <x:c r="F189" s="189" t="n">
        <x:f>IF(G189="definiert",'Stationen Abfrage dataprocessor'!$H$41+1,"")</x:f>
        <x:v>46266</x:v>
      </x:c>
      <x:c r="G189" s="182" t="str">
        <x:f>IF(D189="nein","nicht_anwendbar",IF(D189&lt;&gt;"ja","Konfiguration fehlt",IF(OR(NOT(ISNUMBER('Stationen Abfrage dataprocessor'!$E$41)),NOT(ISNUMBER('Stationen Abfrage dataprocessor'!$H$41))),"Konfiguration fehlt",IF(('Stationen Abfrage dataprocessor'!$H$41+1)&lt;=('Stationen Abfrage dataprocessor'!$E$41),"kein_beobachtetes_fenster","definiert"))))</x:f>
        <x:v>definiert</x:v>
      </x:c>
      <x:c r="H189" s="182" t="str">
        <x:v>ja</x:v>
      </x:c>
      <x:c r="I189" s="182" t="str">
        <x:v>nein</x:v>
      </x:c>
      <x:c r="J189" s="182" t="str">
        <x:f>"nicht Voraussetzung"</x:f>
        <x:v>nicht Voraussetzung</x:v>
      </x:c>
      <x:c r="K189" s="190" t="n">
        <x:f>IF(G189="definiert",F189-E189,"")</x:f>
        <x:v>488</x:v>
      </x:c>
      <x:c r="L189" s="182" t="n">
        <x:v>41</x:v>
      </x:c>
      <x:c r="M189" s="182" t="str">
        <x:f>IF('Stationen Abfrage dataprocessor'!$K$41="","",'Stationen Abfrage dataprocessor'!$K$41)</x:f>
      </x:c>
      <x:c r="N189" s="182" t="str">
        <x:f>Definitionen!$B$2</x:f>
        <x:v>IP-COHORT-2026-10-28-01</x:v>
      </x:c>
    </x:row>
    <x:row r="190" ht="30" customHeight="1">
      <x:c r="A190" s="182" t="str">
        <x:f>'Stationen Abfrage dataprocessor'!$A$42</x:f>
        <x:v>UK Gießen</x:v>
      </x:c>
      <x:c r="B190" s="182" t="str">
        <x:f>'Stationen Abfrage dataprocessor'!$D$42</x:f>
        <x:v>2.3 Kardiologie NST</x:v>
      </x:c>
      <x:c r="C190" s="182" t="str">
        <x:v>BS</x:v>
      </x:c>
      <x:c r="D190" s="182" t="str">
        <x:f>'Stationen Abfrage dataprocessor'!$M$42</x:f>
        <x:v>ja</x:v>
      </x:c>
      <x:c r="E190" s="189" t="n">
        <x:f>IF(G190="definiert",'Stationen Abfrage dataprocessor'!$E$42,"")</x:f>
        <x:v>45809</x:v>
      </x:c>
      <x:c r="F190" s="189" t="n">
        <x:f>IF(G190="definiert",IF('Stationen Abfrage dataprocessor'!$T$42="Studienende",'Stationen Abfrage dataprocessor'!$H$42+1,MIN('Stationen Abfrage dataprocessor'!$F$42,'Stationen Abfrage dataprocessor'!$H$42+1)),"")</x:f>
        <x:v>46017</x:v>
      </x:c>
      <x:c r="G190" s="182" t="str">
        <x:f>IF(D190="nein","nicht_anwendbar",IF(D190&lt;&gt;"ja","Konfiguration fehlt",IF(OR(NOT(ISNUMBER('Stationen Abfrage dataprocessor'!$E$42)),NOT(ISNUMBER('Stationen Abfrage dataprocessor'!$H$42)),AND('Stationen Abfrage dataprocessor'!$T$42&lt;&gt;"Phasengrenze",'Stationen Abfrage dataprocessor'!$T$42&lt;&gt;"Studienende"),AND('Stationen Abfrage dataprocessor'!$T$42="Phasengrenze",NOT(ISNUMBER('Stationen Abfrage dataprocessor'!$F$42)))),"Konfiguration fehlt",IF((IF('Stationen Abfrage dataprocessor'!$T$42="Studienende",'Stationen Abfrage dataprocessor'!$H$42+1,MIN('Stationen Abfrage dataprocessor'!$F$42,'Stationen Abfrage dataprocessor'!$H$42+1)))&lt;=('Stationen Abfrage dataprocessor'!$E$42),"kein_beobachtetes_fenster","definiert"))))</x:f>
        <x:v>definiert</x:v>
      </x:c>
      <x:c r="H190" s="182" t="str">
        <x:v>nein</x:v>
      </x:c>
      <x:c r="I190" s="182" t="str">
        <x:v>nein</x:v>
      </x:c>
      <x:c r="J190" s="182" t="str">
        <x:f>"nicht Voraussetzung"</x:f>
        <x:v>nicht Voraussetzung</x:v>
      </x:c>
      <x:c r="K190" s="190" t="n">
        <x:f>IF(G190="definiert",F190-E190,"")</x:f>
        <x:v>208</x:v>
      </x:c>
      <x:c r="L190" s="182" t="n">
        <x:v>42</x:v>
      </x:c>
      <x:c r="M190" s="182" t="str">
        <x:f>IF('Stationen Abfrage dataprocessor'!$K$42="","",'Stationen Abfrage dataprocessor'!$K$42)</x:f>
      </x:c>
      <x:c r="N190" s="182" t="str">
        <x:f>Definitionen!$B$2</x:f>
        <x:v>IP-COHORT-2026-10-28-01</x:v>
      </x:c>
    </x:row>
    <x:row r="191" ht="30" customHeight="1">
      <x:c r="A191" s="182" t="str">
        <x:f>'Stationen Abfrage dataprocessor'!$A$42</x:f>
        <x:v>UK Gießen</x:v>
      </x:c>
      <x:c r="B191" s="182" t="str">
        <x:f>'Stationen Abfrage dataprocessor'!$D$42</x:f>
        <x:v>2.3 Kardiologie NST</x:v>
      </x:c>
      <x:c r="C191" s="182" t="str">
        <x:v>CRS-A</x:v>
      </x:c>
      <x:c r="D191" s="182" t="str">
        <x:f>'Stationen Abfrage dataprocessor'!$N$42</x:f>
        <x:v>ja</x:v>
      </x:c>
      <x:c r="E191" s="189" t="n">
        <x:f>IF(G191="definiert",MAX('Stationen Abfrage dataprocessor'!$E$42,'Stationen Abfrage dataprocessor'!$F$42),"")</x:f>
        <x:v>46017</x:v>
      </x:c>
      <x:c r="F191" s="189" t="n">
        <x:f>IF(G191="definiert",MIN('Stationen Abfrage dataprocessor'!$G$42,'Stationen Abfrage dataprocessor'!$H$42+1),"")</x:f>
        <x:v>46129</x:v>
      </x:c>
      <x:c r="G191" s="182" t="str">
        <x:f>IF(D191="nein","nicht_anwendbar",IF(D191&lt;&gt;"ja","Konfiguration fehlt",IF(OR(NOT(ISNUMBER('Stationen Abfrage dataprocessor'!$E$42)),NOT(ISNUMBER('Stationen Abfrage dataprocessor'!$F$42)),NOT(ISNUMBER('Stationen Abfrage dataprocessor'!$G$42)),NOT(ISNUMBER('Stationen Abfrage dataprocessor'!$H$42))),"Konfiguration fehlt",IF((MIN('Stationen Abfrage dataprocessor'!$G$42,'Stationen Abfrage dataprocessor'!$H$42+1))&lt;=(MAX('Stationen Abfrage dataprocessor'!$E$42,'Stationen Abfrage dataprocessor'!$F$42)),"kein_beobachtetes_fenster","definiert"))))</x:f>
        <x:v>definiert</x:v>
      </x:c>
      <x:c r="H191" s="182" t="str">
        <x:v>nein</x:v>
      </x:c>
      <x:c r="I191" s="182" t="str">
        <x:v>nein</x:v>
      </x:c>
      <x:c r="J191" s="182" t="str">
        <x:f>"nicht Voraussetzung"</x:f>
        <x:v>nicht Voraussetzung</x:v>
      </x:c>
      <x:c r="K191" s="190" t="n">
        <x:f>IF(G191="definiert",F191-E191,"")</x:f>
        <x:v>112</x:v>
      </x:c>
      <x:c r="L191" s="182" t="n">
        <x:v>42</x:v>
      </x:c>
      <x:c r="M191" s="182" t="str">
        <x:f>IF('Stationen Abfrage dataprocessor'!$K$42="","",'Stationen Abfrage dataprocessor'!$K$42)</x:f>
      </x:c>
      <x:c r="N191" s="182" t="str">
        <x:f>Definitionen!$B$2</x:f>
        <x:v>IP-COHORT-2026-10-28-01</x:v>
      </x:c>
    </x:row>
    <x:row r="192" ht="30" customHeight="1">
      <x:c r="A192" s="182" t="str">
        <x:f>'Stationen Abfrage dataprocessor'!$A$42</x:f>
        <x:v>UK Gießen</x:v>
      </x:c>
      <x:c r="B192" s="182" t="str">
        <x:f>'Stationen Abfrage dataprocessor'!$D$42</x:f>
        <x:v>2.3 Kardiologie NST</x:v>
      </x:c>
      <x:c r="C192" s="182" t="str">
        <x:v>CRS-B</x:v>
      </x:c>
      <x:c r="D192" s="182" t="str">
        <x:f>'Stationen Abfrage dataprocessor'!$O$42</x:f>
        <x:v>ja</x:v>
      </x:c>
      <x:c r="E192" s="189" t="n">
        <x:f>IF(G192="definiert",MAX('Stationen Abfrage dataprocessor'!$E$42,'Stationen Abfrage dataprocessor'!$G$42),"")</x:f>
        <x:v>46129</x:v>
      </x:c>
      <x:c r="F192" s="189" t="n">
        <x:f>IF(G192="definiert",'Stationen Abfrage dataprocessor'!$H$42+1,"")</x:f>
        <x:v>46266</x:v>
      </x:c>
      <x:c r="G192" s="182" t="str">
        <x:f>IF(D192="nein","nicht_anwendbar",IF(D192&lt;&gt;"ja","Konfiguration fehlt",IF(OR(NOT(ISNUMBER('Stationen Abfrage dataprocessor'!$E$42)),NOT(ISNUMBER('Stationen Abfrage dataprocessor'!$G$42)),NOT(ISNUMBER('Stationen Abfrage dataprocessor'!$H$42))),"Konfiguration fehlt",IF(('Stationen Abfrage dataprocessor'!$H$42+1)&lt;=(MAX('Stationen Abfrage dataprocessor'!$E$42,'Stationen Abfrage dataprocessor'!$G$42)),"kein_beobachtetes_fenster","definiert"))))</x:f>
        <x:v>definiert</x:v>
      </x:c>
      <x:c r="H192" s="182" t="str">
        <x:v>nein</x:v>
      </x:c>
      <x:c r="I192" s="182" t="str">
        <x:v>nein</x:v>
      </x:c>
      <x:c r="J192" s="182" t="str">
        <x:f>'Stationen Abfrage dataprocessor'!$S$42</x:f>
        <x:v>fallbezogen prüfen</x:v>
      </x:c>
      <x:c r="K192" s="190" t="n">
        <x:f>IF(G192="definiert",F192-E192,"")</x:f>
        <x:v>137</x:v>
      </x:c>
      <x:c r="L192" s="182" t="n">
        <x:v>42</x:v>
      </x:c>
      <x:c r="M192" s="182" t="str">
        <x:f>IF('Stationen Abfrage dataprocessor'!$K$42="","",'Stationen Abfrage dataprocessor'!$K$42)</x:f>
      </x:c>
      <x:c r="N192" s="182" t="str">
        <x:f>Definitionen!$B$2</x:f>
        <x:v>IP-COHORT-2026-10-28-01</x:v>
      </x:c>
    </x:row>
    <x:row r="193" ht="30" customHeight="1">
      <x:c r="A193" s="182" t="str">
        <x:f>'Stationen Abfrage dataprocessor'!$A$42</x:f>
        <x:v>UK Gießen</x:v>
      </x:c>
      <x:c r="B193" s="182" t="str">
        <x:f>'Stationen Abfrage dataprocessor'!$D$42</x:f>
        <x:v>2.3 Kardiologie NST</x:v>
      </x:c>
      <x:c r="C193" s="182" t="str">
        <x:v>RES</x:v>
      </x:c>
      <x:c r="D193" s="182" t="str">
        <x:f>'Stationen Abfrage dataprocessor'!$P$42</x:f>
        <x:v>ja</x:v>
      </x:c>
      <x:c r="E193" s="189" t="n">
        <x:f>IF(G193="definiert",MAX('Stationen Abfrage dataprocessor'!$E$42,'Stationen Abfrage dataprocessor'!$G$42),"")</x:f>
        <x:v>46129</x:v>
      </x:c>
      <x:c r="F193" s="189" t="n">
        <x:f>IF(G193="definiert",'Stationen Abfrage dataprocessor'!$H$42+1,"")</x:f>
        <x:v>46266</x:v>
      </x:c>
      <x:c r="G193" s="182" t="str">
        <x:f>IF(D193="nein","nicht_anwendbar",IF(D193&lt;&gt;"ja","Konfiguration fehlt",IF(OR(NOT(ISNUMBER('Stationen Abfrage dataprocessor'!$E$42)),NOT(ISNUMBER('Stationen Abfrage dataprocessor'!$G$42)),NOT(ISNUMBER('Stationen Abfrage dataprocessor'!$H$42))),"Konfiguration fehlt",IF(('Stationen Abfrage dataprocessor'!$H$42+1)&lt;=(MAX('Stationen Abfrage dataprocessor'!$E$42,'Stationen Abfrage dataprocessor'!$G$42)),"kein_beobachtetes_fenster","definiert"))))</x:f>
        <x:v>definiert</x:v>
      </x:c>
      <x:c r="H193" s="182" t="str">
        <x:v>ja</x:v>
      </x:c>
      <x:c r="I193" s="182" t="str">
        <x:v>ja</x:v>
      </x:c>
      <x:c r="J193" s="182" t="str">
        <x:f>'Stationen Abfrage dataprocessor'!$S$42</x:f>
        <x:v>fallbezogen prüfen</x:v>
      </x:c>
      <x:c r="K193" s="190" t="n">
        <x:f>IF(G193="definiert",F193-E193,"")</x:f>
        <x:v>137</x:v>
      </x:c>
      <x:c r="L193" s="182" t="n">
        <x:v>42</x:v>
      </x:c>
      <x:c r="M193" s="182" t="str">
        <x:f>IF('Stationen Abfrage dataprocessor'!$K$42="","",'Stationen Abfrage dataprocessor'!$K$42)</x:f>
      </x:c>
      <x:c r="N193" s="182" t="str">
        <x:f>Definitionen!$B$2</x:f>
        <x:v>IP-COHORT-2026-10-28-01</x:v>
      </x:c>
    </x:row>
    <x:row r="194" ht="30" customHeight="1">
      <x:c r="A194" s="182" t="str">
        <x:f>'Stationen Abfrage dataprocessor'!$A$42</x:f>
        <x:v>UK Gießen</x:v>
      </x:c>
      <x:c r="B194" s="182" t="str">
        <x:f>'Stationen Abfrage dataprocessor'!$D$42</x:f>
        <x:v>2.3 Kardiologie NST</x:v>
      </x:c>
      <x:c r="C194" s="182" t="str">
        <x:v>TRS</x:v>
      </x:c>
      <x:c r="D194" s="182" t="str">
        <x:f>'Stationen Abfrage dataprocessor'!$Q$42</x:f>
        <x:v>ja</x:v>
      </x:c>
      <x:c r="E194" s="189" t="n">
        <x:f>IF(G194="definiert",'Stationen Abfrage dataprocessor'!$E$42,"")</x:f>
        <x:v>45809</x:v>
      </x:c>
      <x:c r="F194" s="189" t="n">
        <x:f>IF(G194="definiert",'Stationen Abfrage dataprocessor'!$H$42+1,"")</x:f>
        <x:v>46266</x:v>
      </x:c>
      <x:c r="G194" s="182" t="str">
        <x:f>IF(D194="nein","nicht_anwendbar",IF(D194&lt;&gt;"ja","Konfiguration fehlt",IF(OR(NOT(ISNUMBER('Stationen Abfrage dataprocessor'!$E$42)),NOT(ISNUMBER('Stationen Abfrage dataprocessor'!$H$42))),"Konfiguration fehlt",IF(('Stationen Abfrage dataprocessor'!$H$42+1)&lt;=('Stationen Abfrage dataprocessor'!$E$42),"kein_beobachtetes_fenster","definiert"))))</x:f>
        <x:v>definiert</x:v>
      </x:c>
      <x:c r="H194" s="182" t="str">
        <x:v>ja</x:v>
      </x:c>
      <x:c r="I194" s="182" t="str">
        <x:v>nein</x:v>
      </x:c>
      <x:c r="J194" s="182" t="str">
        <x:f>"nicht Voraussetzung"</x:f>
        <x:v>nicht Voraussetzung</x:v>
      </x:c>
      <x:c r="K194" s="190" t="n">
        <x:f>IF(G194="definiert",F194-E194,"")</x:f>
        <x:v>457</x:v>
      </x:c>
      <x:c r="L194" s="182" t="n">
        <x:v>42</x:v>
      </x:c>
      <x:c r="M194" s="182" t="str">
        <x:f>IF('Stationen Abfrage dataprocessor'!$K$42="","",'Stationen Abfrage dataprocessor'!$K$42)</x:f>
      </x:c>
      <x:c r="N194" s="182" t="str">
        <x:f>Definitionen!$B$2</x:f>
        <x:v>IP-COHORT-2026-10-28-01</x:v>
      </x:c>
    </x:row>
    <x:row r="195" ht="30" customHeight="1">
      <x:c r="A195" s="182" t="str">
        <x:f>'Stationen Abfrage dataprocessor'!$A$43</x:f>
        <x:v>UK Gießen</x:v>
      </x:c>
      <x:c r="B195" s="182" t="str">
        <x:f>'Stationen Abfrage dataprocessor'!$D$43</x:f>
        <x:v>Station 2 URO (von Lichtenberg)</x:v>
      </x:c>
      <x:c r="C195" s="182" t="str">
        <x:v>BS</x:v>
      </x:c>
      <x:c r="D195" s="182" t="str">
        <x:f>'Stationen Abfrage dataprocessor'!$M$43</x:f>
        <x:v>ja</x:v>
      </x:c>
      <x:c r="E195" s="189" t="n">
        <x:f>IF(G195="definiert",'Stationen Abfrage dataprocessor'!$E$43,"")</x:f>
        <x:v>45778</x:v>
      </x:c>
      <x:c r="F195" s="189" t="n">
        <x:f>IF(G195="definiert",IF('Stationen Abfrage dataprocessor'!$T$43="Studienende",'Stationen Abfrage dataprocessor'!$H$43+1,MIN('Stationen Abfrage dataprocessor'!$F$43,'Stationen Abfrage dataprocessor'!$H$43+1)),"")</x:f>
        <x:v>46017</x:v>
      </x:c>
      <x:c r="G195" s="182" t="str">
        <x:f>IF(D195="nein","nicht_anwendbar",IF(D195&lt;&gt;"ja","Konfiguration fehlt",IF(OR(NOT(ISNUMBER('Stationen Abfrage dataprocessor'!$E$43)),NOT(ISNUMBER('Stationen Abfrage dataprocessor'!$H$43)),AND('Stationen Abfrage dataprocessor'!$T$43&lt;&gt;"Phasengrenze",'Stationen Abfrage dataprocessor'!$T$43&lt;&gt;"Studienende"),AND('Stationen Abfrage dataprocessor'!$T$43="Phasengrenze",NOT(ISNUMBER('Stationen Abfrage dataprocessor'!$F$43)))),"Konfiguration fehlt",IF((IF('Stationen Abfrage dataprocessor'!$T$43="Studienende",'Stationen Abfrage dataprocessor'!$H$43+1,MIN('Stationen Abfrage dataprocessor'!$F$43,'Stationen Abfrage dataprocessor'!$H$43+1)))&lt;=('Stationen Abfrage dataprocessor'!$E$43),"kein_beobachtetes_fenster","definiert"))))</x:f>
        <x:v>definiert</x:v>
      </x:c>
      <x:c r="H195" s="182" t="str">
        <x:v>nein</x:v>
      </x:c>
      <x:c r="I195" s="182" t="str">
        <x:v>nein</x:v>
      </x:c>
      <x:c r="J195" s="182" t="str">
        <x:f>"nicht Voraussetzung"</x:f>
        <x:v>nicht Voraussetzung</x:v>
      </x:c>
      <x:c r="K195" s="190" t="n">
        <x:f>IF(G195="definiert",F195-E195,"")</x:f>
        <x:v>239</x:v>
      </x:c>
      <x:c r="L195" s="182" t="n">
        <x:v>43</x:v>
      </x:c>
      <x:c r="M195" s="182" t="str">
        <x:f>IF('Stationen Abfrage dataprocessor'!$K$43="","",'Stationen Abfrage dataprocessor'!$K$43)</x:f>
      </x:c>
      <x:c r="N195" s="182" t="str">
        <x:f>Definitionen!$B$2</x:f>
        <x:v>IP-COHORT-2026-10-28-01</x:v>
      </x:c>
    </x:row>
    <x:row r="196" ht="30" customHeight="1">
      <x:c r="A196" s="182" t="str">
        <x:f>'Stationen Abfrage dataprocessor'!$A$43</x:f>
        <x:v>UK Gießen</x:v>
      </x:c>
      <x:c r="B196" s="182" t="str">
        <x:f>'Stationen Abfrage dataprocessor'!$D$43</x:f>
        <x:v>Station 2 URO (von Lichtenberg)</x:v>
      </x:c>
      <x:c r="C196" s="182" t="str">
        <x:v>CRS-A</x:v>
      </x:c>
      <x:c r="D196" s="182" t="str">
        <x:f>'Stationen Abfrage dataprocessor'!$N$43</x:f>
        <x:v>ja</x:v>
      </x:c>
      <x:c r="E196" s="189" t="n">
        <x:f>IF(G196="definiert",MAX('Stationen Abfrage dataprocessor'!$E$43,'Stationen Abfrage dataprocessor'!$F$43),"")</x:f>
        <x:v>46017</x:v>
      </x:c>
      <x:c r="F196" s="189" t="n">
        <x:f>IF(G196="definiert",MIN('Stationen Abfrage dataprocessor'!$G$43,'Stationen Abfrage dataprocessor'!$H$43+1),"")</x:f>
        <x:v>46157</x:v>
      </x:c>
      <x:c r="G196" s="182" t="str">
        <x:f>IF(D196="nein","nicht_anwendbar",IF(D196&lt;&gt;"ja","Konfiguration fehlt",IF(OR(NOT(ISNUMBER('Stationen Abfrage dataprocessor'!$E$43)),NOT(ISNUMBER('Stationen Abfrage dataprocessor'!$F$43)),NOT(ISNUMBER('Stationen Abfrage dataprocessor'!$G$43)),NOT(ISNUMBER('Stationen Abfrage dataprocessor'!$H$43))),"Konfiguration fehlt",IF((MIN('Stationen Abfrage dataprocessor'!$G$43,'Stationen Abfrage dataprocessor'!$H$43+1))&lt;=(MAX('Stationen Abfrage dataprocessor'!$E$43,'Stationen Abfrage dataprocessor'!$F$43)),"kein_beobachtetes_fenster","definiert"))))</x:f>
        <x:v>definiert</x:v>
      </x:c>
      <x:c r="H196" s="182" t="str">
        <x:v>nein</x:v>
      </x:c>
      <x:c r="I196" s="182" t="str">
        <x:v>nein</x:v>
      </x:c>
      <x:c r="J196" s="182" t="str">
        <x:f>"nicht Voraussetzung"</x:f>
        <x:v>nicht Voraussetzung</x:v>
      </x:c>
      <x:c r="K196" s="190" t="n">
        <x:f>IF(G196="definiert",F196-E196,"")</x:f>
        <x:v>140</x:v>
      </x:c>
      <x:c r="L196" s="182" t="n">
        <x:v>43</x:v>
      </x:c>
      <x:c r="M196" s="182" t="str">
        <x:f>IF('Stationen Abfrage dataprocessor'!$K$43="","",'Stationen Abfrage dataprocessor'!$K$43)</x:f>
      </x:c>
      <x:c r="N196" s="182" t="str">
        <x:f>Definitionen!$B$2</x:f>
        <x:v>IP-COHORT-2026-10-28-01</x:v>
      </x:c>
    </x:row>
    <x:row r="197" ht="30" customHeight="1">
      <x:c r="A197" s="182" t="str">
        <x:f>'Stationen Abfrage dataprocessor'!$A$43</x:f>
        <x:v>UK Gießen</x:v>
      </x:c>
      <x:c r="B197" s="182" t="str">
        <x:f>'Stationen Abfrage dataprocessor'!$D$43</x:f>
        <x:v>Station 2 URO (von Lichtenberg)</x:v>
      </x:c>
      <x:c r="C197" s="182" t="str">
        <x:v>CRS-B</x:v>
      </x:c>
      <x:c r="D197" s="182" t="str">
        <x:f>'Stationen Abfrage dataprocessor'!$O$43</x:f>
        <x:v>ja</x:v>
      </x:c>
      <x:c r="E197" s="189" t="n">
        <x:f>IF(G197="definiert",MAX('Stationen Abfrage dataprocessor'!$E$43,'Stationen Abfrage dataprocessor'!$G$43),"")</x:f>
        <x:v>46157</x:v>
      </x:c>
      <x:c r="F197" s="189" t="n">
        <x:f>IF(G197="definiert",'Stationen Abfrage dataprocessor'!$H$43+1,"")</x:f>
        <x:v>46266</x:v>
      </x:c>
      <x:c r="G197" s="182" t="str">
        <x:f>IF(D197="nein","nicht_anwendbar",IF(D197&lt;&gt;"ja","Konfiguration fehlt",IF(OR(NOT(ISNUMBER('Stationen Abfrage dataprocessor'!$E$43)),NOT(ISNUMBER('Stationen Abfrage dataprocessor'!$G$43)),NOT(ISNUMBER('Stationen Abfrage dataprocessor'!$H$43))),"Konfiguration fehlt",IF(('Stationen Abfrage dataprocessor'!$H$43+1)&lt;=(MAX('Stationen Abfrage dataprocessor'!$E$43,'Stationen Abfrage dataprocessor'!$G$43)),"kein_beobachtetes_fenster","definiert"))))</x:f>
        <x:v>definiert</x:v>
      </x:c>
      <x:c r="H197" s="182" t="str">
        <x:v>nein</x:v>
      </x:c>
      <x:c r="I197" s="182" t="str">
        <x:v>nein</x:v>
      </x:c>
      <x:c r="J197" s="182" t="str">
        <x:f>'Stationen Abfrage dataprocessor'!$S$43</x:f>
        <x:v>fallbezogen prüfen</x:v>
      </x:c>
      <x:c r="K197" s="190" t="n">
        <x:f>IF(G197="definiert",F197-E197,"")</x:f>
        <x:v>109</x:v>
      </x:c>
      <x:c r="L197" s="182" t="n">
        <x:v>43</x:v>
      </x:c>
      <x:c r="M197" s="182" t="str">
        <x:f>IF('Stationen Abfrage dataprocessor'!$K$43="","",'Stationen Abfrage dataprocessor'!$K$43)</x:f>
      </x:c>
      <x:c r="N197" s="182" t="str">
        <x:f>Definitionen!$B$2</x:f>
        <x:v>IP-COHORT-2026-10-28-01</x:v>
      </x:c>
    </x:row>
    <x:row r="198" ht="30" customHeight="1">
      <x:c r="A198" s="182" t="str">
        <x:f>'Stationen Abfrage dataprocessor'!$A$43</x:f>
        <x:v>UK Gießen</x:v>
      </x:c>
      <x:c r="B198" s="182" t="str">
        <x:f>'Stationen Abfrage dataprocessor'!$D$43</x:f>
        <x:v>Station 2 URO (von Lichtenberg)</x:v>
      </x:c>
      <x:c r="C198" s="182" t="str">
        <x:v>RES</x:v>
      </x:c>
      <x:c r="D198" s="182" t="str">
        <x:f>'Stationen Abfrage dataprocessor'!$P$43</x:f>
        <x:v>ja</x:v>
      </x:c>
      <x:c r="E198" s="189" t="n">
        <x:f>IF(G198="definiert",MAX('Stationen Abfrage dataprocessor'!$E$43,'Stationen Abfrage dataprocessor'!$G$43),"")</x:f>
        <x:v>46157</x:v>
      </x:c>
      <x:c r="F198" s="189" t="n">
        <x:f>IF(G198="definiert",'Stationen Abfrage dataprocessor'!$H$43+1,"")</x:f>
        <x:v>46266</x:v>
      </x:c>
      <x:c r="G198" s="182" t="str">
        <x:f>IF(D198="nein","nicht_anwendbar",IF(D198&lt;&gt;"ja","Konfiguration fehlt",IF(OR(NOT(ISNUMBER('Stationen Abfrage dataprocessor'!$E$43)),NOT(ISNUMBER('Stationen Abfrage dataprocessor'!$G$43)),NOT(ISNUMBER('Stationen Abfrage dataprocessor'!$H$43))),"Konfiguration fehlt",IF(('Stationen Abfrage dataprocessor'!$H$43+1)&lt;=(MAX('Stationen Abfrage dataprocessor'!$E$43,'Stationen Abfrage dataprocessor'!$G$43)),"kein_beobachtetes_fenster","definiert"))))</x:f>
        <x:v>definiert</x:v>
      </x:c>
      <x:c r="H198" s="182" t="str">
        <x:v>ja</x:v>
      </x:c>
      <x:c r="I198" s="182" t="str">
        <x:v>ja</x:v>
      </x:c>
      <x:c r="J198" s="182" t="str">
        <x:f>'Stationen Abfrage dataprocessor'!$S$43</x:f>
        <x:v>fallbezogen prüfen</x:v>
      </x:c>
      <x:c r="K198" s="190" t="n">
        <x:f>IF(G198="definiert",F198-E198,"")</x:f>
        <x:v>109</x:v>
      </x:c>
      <x:c r="L198" s="182" t="n">
        <x:v>43</x:v>
      </x:c>
      <x:c r="M198" s="182" t="str">
        <x:f>IF('Stationen Abfrage dataprocessor'!$K$43="","",'Stationen Abfrage dataprocessor'!$K$43)</x:f>
      </x:c>
      <x:c r="N198" s="182" t="str">
        <x:f>Definitionen!$B$2</x:f>
        <x:v>IP-COHORT-2026-10-28-01</x:v>
      </x:c>
    </x:row>
    <x:row r="199" ht="30" customHeight="1">
      <x:c r="A199" s="182" t="str">
        <x:f>'Stationen Abfrage dataprocessor'!$A$43</x:f>
        <x:v>UK Gießen</x:v>
      </x:c>
      <x:c r="B199" s="182" t="str">
        <x:f>'Stationen Abfrage dataprocessor'!$D$43</x:f>
        <x:v>Station 2 URO (von Lichtenberg)</x:v>
      </x:c>
      <x:c r="C199" s="182" t="str">
        <x:v>TRS</x:v>
      </x:c>
      <x:c r="D199" s="182" t="str">
        <x:f>'Stationen Abfrage dataprocessor'!$Q$43</x:f>
        <x:v>ja</x:v>
      </x:c>
      <x:c r="E199" s="189" t="n">
        <x:f>IF(G199="definiert",'Stationen Abfrage dataprocessor'!$E$43,"")</x:f>
        <x:v>45778</x:v>
      </x:c>
      <x:c r="F199" s="189" t="n">
        <x:f>IF(G199="definiert",'Stationen Abfrage dataprocessor'!$H$43+1,"")</x:f>
        <x:v>46266</x:v>
      </x:c>
      <x:c r="G199" s="182" t="str">
        <x:f>IF(D199="nein","nicht_anwendbar",IF(D199&lt;&gt;"ja","Konfiguration fehlt",IF(OR(NOT(ISNUMBER('Stationen Abfrage dataprocessor'!$E$43)),NOT(ISNUMBER('Stationen Abfrage dataprocessor'!$H$43))),"Konfiguration fehlt",IF(('Stationen Abfrage dataprocessor'!$H$43+1)&lt;=('Stationen Abfrage dataprocessor'!$E$43),"kein_beobachtetes_fenster","definiert"))))</x:f>
        <x:v>definiert</x:v>
      </x:c>
      <x:c r="H199" s="182" t="str">
        <x:v>ja</x:v>
      </x:c>
      <x:c r="I199" s="182" t="str">
        <x:v>nein</x:v>
      </x:c>
      <x:c r="J199" s="182" t="str">
        <x:f>"nicht Voraussetzung"</x:f>
        <x:v>nicht Voraussetzung</x:v>
      </x:c>
      <x:c r="K199" s="190" t="n">
        <x:f>IF(G199="definiert",F199-E199,"")</x:f>
        <x:v>488</x:v>
      </x:c>
      <x:c r="L199" s="182" t="n">
        <x:v>43</x:v>
      </x:c>
      <x:c r="M199" s="182" t="str">
        <x:f>IF('Stationen Abfrage dataprocessor'!$K$43="","",'Stationen Abfrage dataprocessor'!$K$43)</x:f>
      </x:c>
      <x:c r="N199" s="182" t="str">
        <x:f>Definitionen!$B$2</x:f>
        <x:v>IP-COHORT-2026-10-28-01</x:v>
      </x:c>
    </x:row>
    <x:row r="200" ht="30" customHeight="1">
      <x:c r="A200" s="182" t="str">
        <x:f>'Stationen Abfrage dataprocessor'!$A$44</x:f>
        <x:v>UK Halle</x:v>
      </x:c>
      <x:c r="B200" s="182" t="str">
        <x:f>'Stationen Abfrage dataprocessor'!$D$44</x:f>
        <x:v>KIMGER</x:v>
      </x:c>
      <x:c r="C200" s="182" t="str">
        <x:v>BS</x:v>
      </x:c>
      <x:c r="D200" s="182" t="str">
        <x:f>'Stationen Abfrage dataprocessor'!$M$44</x:f>
        <x:v>ja</x:v>
      </x:c>
      <x:c r="E200" s="189" t="n">
        <x:f>IF(G200="definiert",'Stationen Abfrage dataprocessor'!$E$44,"")</x:f>
        <x:v>45823</x:v>
      </x:c>
      <x:c r="F200" s="189" t="n">
        <x:f>IF(G200="definiert",IF('Stationen Abfrage dataprocessor'!$T$44="Studienende",'Stationen Abfrage dataprocessor'!$H$44+1,MIN('Stationen Abfrage dataprocessor'!$F$44,'Stationen Abfrage dataprocessor'!$H$44+1)),"")</x:f>
        <x:v>46017</x:v>
      </x:c>
      <x:c r="G200" s="182" t="str">
        <x:f>IF(D200="nein","nicht_anwendbar",IF(D200&lt;&gt;"ja","Konfiguration fehlt",IF(OR(NOT(ISNUMBER('Stationen Abfrage dataprocessor'!$E$44)),NOT(ISNUMBER('Stationen Abfrage dataprocessor'!$H$44)),AND('Stationen Abfrage dataprocessor'!$T$44&lt;&gt;"Phasengrenze",'Stationen Abfrage dataprocessor'!$T$44&lt;&gt;"Studienende"),AND('Stationen Abfrage dataprocessor'!$T$44="Phasengrenze",NOT(ISNUMBER('Stationen Abfrage dataprocessor'!$F$44)))),"Konfiguration fehlt",IF((IF('Stationen Abfrage dataprocessor'!$T$44="Studienende",'Stationen Abfrage dataprocessor'!$H$44+1,MIN('Stationen Abfrage dataprocessor'!$F$44,'Stationen Abfrage dataprocessor'!$H$44+1)))&lt;=('Stationen Abfrage dataprocessor'!$E$44),"kein_beobachtetes_fenster","definiert"))))</x:f>
        <x:v>definiert</x:v>
      </x:c>
      <x:c r="H200" s="182" t="str">
        <x:v>nein</x:v>
      </x:c>
      <x:c r="I200" s="182" t="str">
        <x:v>nein</x:v>
      </x:c>
      <x:c r="J200" s="182" t="str">
        <x:f>"nicht Voraussetzung"</x:f>
        <x:v>nicht Voraussetzung</x:v>
      </x:c>
      <x:c r="K200" s="190" t="n">
        <x:f>IF(G200="definiert",F200-E200,"")</x:f>
        <x:v>194</x:v>
      </x:c>
      <x:c r="L200" s="182" t="n">
        <x:v>44</x:v>
      </x:c>
      <x:c r="M200" s="182" t="str">
        <x:f>IF('Stationen Abfrage dataprocessor'!$K$44="","",'Stationen Abfrage dataprocessor'!$K$44)</x:f>
      </x:c>
      <x:c r="N200" s="182" t="str">
        <x:f>Definitionen!$B$2</x:f>
        <x:v>IP-COHORT-2026-10-28-01</x:v>
      </x:c>
    </x:row>
    <x:row r="201" ht="30" customHeight="1">
      <x:c r="A201" s="182" t="str">
        <x:f>'Stationen Abfrage dataprocessor'!$A$44</x:f>
        <x:v>UK Halle</x:v>
      </x:c>
      <x:c r="B201" s="182" t="str">
        <x:f>'Stationen Abfrage dataprocessor'!$D$44</x:f>
        <x:v>KIMGER</x:v>
      </x:c>
      <x:c r="C201" s="182" t="str">
        <x:v>CRS-A</x:v>
      </x:c>
      <x:c r="D201" s="182" t="str">
        <x:f>'Stationen Abfrage dataprocessor'!$N$44</x:f>
        <x:v>ja</x:v>
      </x:c>
      <x:c r="E201" s="189" t="n">
        <x:f>IF(G201="definiert",MAX('Stationen Abfrage dataprocessor'!$E$44,'Stationen Abfrage dataprocessor'!$F$44),"")</x:f>
        <x:v>46017</x:v>
      </x:c>
      <x:c r="F201" s="189" t="n">
        <x:f>IF(G201="definiert",MIN('Stationen Abfrage dataprocessor'!$G$44,'Stationen Abfrage dataprocessor'!$H$44+1),"")</x:f>
        <x:v>46045</x:v>
      </x:c>
      <x:c r="G201" s="182" t="str">
        <x:f>IF(D201="nein","nicht_anwendbar",IF(D201&lt;&gt;"ja","Konfiguration fehlt",IF(OR(NOT(ISNUMBER('Stationen Abfrage dataprocessor'!$E$44)),NOT(ISNUMBER('Stationen Abfrage dataprocessor'!$F$44)),NOT(ISNUMBER('Stationen Abfrage dataprocessor'!$G$44)),NOT(ISNUMBER('Stationen Abfrage dataprocessor'!$H$44))),"Konfiguration fehlt",IF((MIN('Stationen Abfrage dataprocessor'!$G$44,'Stationen Abfrage dataprocessor'!$H$44+1))&lt;=(MAX('Stationen Abfrage dataprocessor'!$E$44,'Stationen Abfrage dataprocessor'!$F$44)),"kein_beobachtetes_fenster","definiert"))))</x:f>
        <x:v>definiert</x:v>
      </x:c>
      <x:c r="H201" s="182" t="str">
        <x:v>nein</x:v>
      </x:c>
      <x:c r="I201" s="182" t="str">
        <x:v>nein</x:v>
      </x:c>
      <x:c r="J201" s="182" t="str">
        <x:f>"nicht Voraussetzung"</x:f>
        <x:v>nicht Voraussetzung</x:v>
      </x:c>
      <x:c r="K201" s="190" t="n">
        <x:f>IF(G201="definiert",F201-E201,"")</x:f>
        <x:v>28</x:v>
      </x:c>
      <x:c r="L201" s="182" t="n">
        <x:v>44</x:v>
      </x:c>
      <x:c r="M201" s="182" t="str">
        <x:f>IF('Stationen Abfrage dataprocessor'!$K$44="","",'Stationen Abfrage dataprocessor'!$K$44)</x:f>
      </x:c>
      <x:c r="N201" s="182" t="str">
        <x:f>Definitionen!$B$2</x:f>
        <x:v>IP-COHORT-2026-10-28-01</x:v>
      </x:c>
    </x:row>
    <x:row r="202" ht="30" customHeight="1">
      <x:c r="A202" s="182" t="str">
        <x:f>'Stationen Abfrage dataprocessor'!$A$44</x:f>
        <x:v>UK Halle</x:v>
      </x:c>
      <x:c r="B202" s="182" t="str">
        <x:f>'Stationen Abfrage dataprocessor'!$D$44</x:f>
        <x:v>KIMGER</x:v>
      </x:c>
      <x:c r="C202" s="182" t="str">
        <x:v>CRS-B</x:v>
      </x:c>
      <x:c r="D202" s="182" t="str">
        <x:f>'Stationen Abfrage dataprocessor'!$O$44</x:f>
        <x:v>ja</x:v>
      </x:c>
      <x:c r="E202" s="189" t="n">
        <x:f>IF(G202="definiert",MAX('Stationen Abfrage dataprocessor'!$E$44,'Stationen Abfrage dataprocessor'!$G$44),"")</x:f>
        <x:v>46045</x:v>
      </x:c>
      <x:c r="F202" s="189" t="n">
        <x:f>IF(G202="definiert",'Stationen Abfrage dataprocessor'!$H$44+1,"")</x:f>
        <x:v>46266</x:v>
      </x:c>
      <x:c r="G202" s="182" t="str">
        <x:f>IF(D202="nein","nicht_anwendbar",IF(D202&lt;&gt;"ja","Konfiguration fehlt",IF(OR(NOT(ISNUMBER('Stationen Abfrage dataprocessor'!$E$44)),NOT(ISNUMBER('Stationen Abfrage dataprocessor'!$G$44)),NOT(ISNUMBER('Stationen Abfrage dataprocessor'!$H$44))),"Konfiguration fehlt",IF(('Stationen Abfrage dataprocessor'!$H$44+1)&lt;=(MAX('Stationen Abfrage dataprocessor'!$E$44,'Stationen Abfrage dataprocessor'!$G$44)),"kein_beobachtetes_fenster","definiert"))))</x:f>
        <x:v>definiert</x:v>
      </x:c>
      <x:c r="H202" s="182" t="str">
        <x:v>nein</x:v>
      </x:c>
      <x:c r="I202" s="182" t="str">
        <x:v>nein</x:v>
      </x:c>
      <x:c r="J202" s="182" t="str">
        <x:f>'Stationen Abfrage dataprocessor'!$S$44</x:f>
        <x:v>fallbezogen prüfen</x:v>
      </x:c>
      <x:c r="K202" s="190" t="n">
        <x:f>IF(G202="definiert",F202-E202,"")</x:f>
        <x:v>221</x:v>
      </x:c>
      <x:c r="L202" s="182" t="n">
        <x:v>44</x:v>
      </x:c>
      <x:c r="M202" s="182" t="str">
        <x:f>IF('Stationen Abfrage dataprocessor'!$K$44="","",'Stationen Abfrage dataprocessor'!$K$44)</x:f>
      </x:c>
      <x:c r="N202" s="182" t="str">
        <x:f>Definitionen!$B$2</x:f>
        <x:v>IP-COHORT-2026-10-28-01</x:v>
      </x:c>
    </x:row>
    <x:row r="203" ht="30" customHeight="1">
      <x:c r="A203" s="182" t="str">
        <x:f>'Stationen Abfrage dataprocessor'!$A$44</x:f>
        <x:v>UK Halle</x:v>
      </x:c>
      <x:c r="B203" s="182" t="str">
        <x:f>'Stationen Abfrage dataprocessor'!$D$44</x:f>
        <x:v>KIMGER</x:v>
      </x:c>
      <x:c r="C203" s="182" t="str">
        <x:v>RES</x:v>
      </x:c>
      <x:c r="D203" s="182" t="str">
        <x:f>'Stationen Abfrage dataprocessor'!$P$44</x:f>
        <x:v>ja</x:v>
      </x:c>
      <x:c r="E203" s="189" t="n">
        <x:f>IF(G203="definiert",MAX('Stationen Abfrage dataprocessor'!$E$44,'Stationen Abfrage dataprocessor'!$G$44),"")</x:f>
        <x:v>46045</x:v>
      </x:c>
      <x:c r="F203" s="189" t="n">
        <x:f>IF(G203="definiert",'Stationen Abfrage dataprocessor'!$H$44+1,"")</x:f>
        <x:v>46266</x:v>
      </x:c>
      <x:c r="G203" s="182" t="str">
        <x:f>IF(D203="nein","nicht_anwendbar",IF(D203&lt;&gt;"ja","Konfiguration fehlt",IF(OR(NOT(ISNUMBER('Stationen Abfrage dataprocessor'!$E$44)),NOT(ISNUMBER('Stationen Abfrage dataprocessor'!$G$44)),NOT(ISNUMBER('Stationen Abfrage dataprocessor'!$H$44))),"Konfiguration fehlt",IF(('Stationen Abfrage dataprocessor'!$H$44+1)&lt;=(MAX('Stationen Abfrage dataprocessor'!$E$44,'Stationen Abfrage dataprocessor'!$G$44)),"kein_beobachtetes_fenster","definiert"))))</x:f>
        <x:v>definiert</x:v>
      </x:c>
      <x:c r="H203" s="182" t="str">
        <x:v>ja</x:v>
      </x:c>
      <x:c r="I203" s="182" t="str">
        <x:v>ja</x:v>
      </x:c>
      <x:c r="J203" s="182" t="str">
        <x:f>'Stationen Abfrage dataprocessor'!$S$44</x:f>
        <x:v>fallbezogen prüfen</x:v>
      </x:c>
      <x:c r="K203" s="190" t="n">
        <x:f>IF(G203="definiert",F203-E203,"")</x:f>
        <x:v>221</x:v>
      </x:c>
      <x:c r="L203" s="182" t="n">
        <x:v>44</x:v>
      </x:c>
      <x:c r="M203" s="182" t="str">
        <x:f>IF('Stationen Abfrage dataprocessor'!$K$44="","",'Stationen Abfrage dataprocessor'!$K$44)</x:f>
      </x:c>
      <x:c r="N203" s="182" t="str">
        <x:f>Definitionen!$B$2</x:f>
        <x:v>IP-COHORT-2026-10-28-01</x:v>
      </x:c>
    </x:row>
    <x:row r="204" ht="30" customHeight="1">
      <x:c r="A204" s="182" t="str">
        <x:f>'Stationen Abfrage dataprocessor'!$A$44</x:f>
        <x:v>UK Halle</x:v>
      </x:c>
      <x:c r="B204" s="182" t="str">
        <x:f>'Stationen Abfrage dataprocessor'!$D$44</x:f>
        <x:v>KIMGER</x:v>
      </x:c>
      <x:c r="C204" s="182" t="str">
        <x:v>TRS</x:v>
      </x:c>
      <x:c r="D204" s="182" t="str">
        <x:f>'Stationen Abfrage dataprocessor'!$Q$44</x:f>
        <x:v>ja</x:v>
      </x:c>
      <x:c r="E204" s="189" t="n">
        <x:f>IF(G204="definiert",'Stationen Abfrage dataprocessor'!$E$44,"")</x:f>
        <x:v>45823</x:v>
      </x:c>
      <x:c r="F204" s="189" t="n">
        <x:f>IF(G204="definiert",'Stationen Abfrage dataprocessor'!$H$44+1,"")</x:f>
        <x:v>46266</x:v>
      </x:c>
      <x:c r="G204" s="182" t="str">
        <x:f>IF(D204="nein","nicht_anwendbar",IF(D204&lt;&gt;"ja","Konfiguration fehlt",IF(OR(NOT(ISNUMBER('Stationen Abfrage dataprocessor'!$E$44)),NOT(ISNUMBER('Stationen Abfrage dataprocessor'!$H$44))),"Konfiguration fehlt",IF(('Stationen Abfrage dataprocessor'!$H$44+1)&lt;=('Stationen Abfrage dataprocessor'!$E$44),"kein_beobachtetes_fenster","definiert"))))</x:f>
        <x:v>definiert</x:v>
      </x:c>
      <x:c r="H204" s="182" t="str">
        <x:v>ja</x:v>
      </x:c>
      <x:c r="I204" s="182" t="str">
        <x:v>nein</x:v>
      </x:c>
      <x:c r="J204" s="182" t="str">
        <x:f>"nicht Voraussetzung"</x:f>
        <x:v>nicht Voraussetzung</x:v>
      </x:c>
      <x:c r="K204" s="190" t="n">
        <x:f>IF(G204="definiert",F204-E204,"")</x:f>
        <x:v>443</x:v>
      </x:c>
      <x:c r="L204" s="182" t="n">
        <x:v>44</x:v>
      </x:c>
      <x:c r="M204" s="182" t="str">
        <x:f>IF('Stationen Abfrage dataprocessor'!$K$44="","",'Stationen Abfrage dataprocessor'!$K$44)</x:f>
      </x:c>
      <x:c r="N204" s="182" t="str">
        <x:f>Definitionen!$B$2</x:f>
        <x:v>IP-COHORT-2026-10-28-01</x:v>
      </x:c>
    </x:row>
    <x:row r="205" ht="30" customHeight="1">
      <x:c r="A205" s="182" t="str">
        <x:f>'Stationen Abfrage dataprocessor'!$A$45</x:f>
        <x:v>UK Halle</x:v>
      </x:c>
      <x:c r="B205" s="182" t="str">
        <x:f>'Stationen Abfrage dataprocessor'!$D$45</x:f>
        <x:v>HCH</x:v>
      </x:c>
      <x:c r="C205" s="182" t="str">
        <x:v>BS</x:v>
      </x:c>
      <x:c r="D205" s="182" t="str">
        <x:f>'Stationen Abfrage dataprocessor'!$M$45</x:f>
        <x:v>ja</x:v>
      </x:c>
      <x:c r="E205" s="189" t="n">
        <x:f>IF(G205="definiert",'Stationen Abfrage dataprocessor'!$E$45,"")</x:f>
        <x:v>45838</x:v>
      </x:c>
      <x:c r="F205" s="189" t="n">
        <x:f>IF(G205="definiert",IF('Stationen Abfrage dataprocessor'!$T$45="Studienende",'Stationen Abfrage dataprocessor'!$H$45+1,MIN('Stationen Abfrage dataprocessor'!$F$45,'Stationen Abfrage dataprocessor'!$H$45+1)),"")</x:f>
        <x:v>46017</x:v>
      </x:c>
      <x:c r="G205" s="182" t="str">
        <x:f>IF(D205="nein","nicht_anwendbar",IF(D205&lt;&gt;"ja","Konfiguration fehlt",IF(OR(NOT(ISNUMBER('Stationen Abfrage dataprocessor'!$E$45)),NOT(ISNUMBER('Stationen Abfrage dataprocessor'!$H$45)),AND('Stationen Abfrage dataprocessor'!$T$45&lt;&gt;"Phasengrenze",'Stationen Abfrage dataprocessor'!$T$45&lt;&gt;"Studienende"),AND('Stationen Abfrage dataprocessor'!$T$45="Phasengrenze",NOT(ISNUMBER('Stationen Abfrage dataprocessor'!$F$45)))),"Konfiguration fehlt",IF((IF('Stationen Abfrage dataprocessor'!$T$45="Studienende",'Stationen Abfrage dataprocessor'!$H$45+1,MIN('Stationen Abfrage dataprocessor'!$F$45,'Stationen Abfrage dataprocessor'!$H$45+1)))&lt;=('Stationen Abfrage dataprocessor'!$E$45),"kein_beobachtetes_fenster","definiert"))))</x:f>
        <x:v>definiert</x:v>
      </x:c>
      <x:c r="H205" s="182" t="str">
        <x:v>nein</x:v>
      </x:c>
      <x:c r="I205" s="182" t="str">
        <x:v>nein</x:v>
      </x:c>
      <x:c r="J205" s="182" t="str">
        <x:f>"nicht Voraussetzung"</x:f>
        <x:v>nicht Voraussetzung</x:v>
      </x:c>
      <x:c r="K205" s="190" t="n">
        <x:f>IF(G205="definiert",F205-E205,"")</x:f>
        <x:v>179</x:v>
      </x:c>
      <x:c r="L205" s="182" t="n">
        <x:v>45</x:v>
      </x:c>
      <x:c r="M205" s="182" t="str">
        <x:f>IF('Stationen Abfrage dataprocessor'!$K$45="","",'Stationen Abfrage dataprocessor'!$K$45)</x:f>
      </x:c>
      <x:c r="N205" s="182" t="str">
        <x:f>Definitionen!$B$2</x:f>
        <x:v>IP-COHORT-2026-10-28-01</x:v>
      </x:c>
    </x:row>
    <x:row r="206" ht="30" customHeight="1">
      <x:c r="A206" s="182" t="str">
        <x:f>'Stationen Abfrage dataprocessor'!$A$45</x:f>
        <x:v>UK Halle</x:v>
      </x:c>
      <x:c r="B206" s="182" t="str">
        <x:f>'Stationen Abfrage dataprocessor'!$D$45</x:f>
        <x:v>HCH</x:v>
      </x:c>
      <x:c r="C206" s="182" t="str">
        <x:v>CRS-A</x:v>
      </x:c>
      <x:c r="D206" s="182" t="str">
        <x:f>'Stationen Abfrage dataprocessor'!$N$45</x:f>
        <x:v>ja</x:v>
      </x:c>
      <x:c r="E206" s="189" t="n">
        <x:f>IF(G206="definiert",MAX('Stationen Abfrage dataprocessor'!$E$45,'Stationen Abfrage dataprocessor'!$F$45),"")</x:f>
        <x:v>46017</x:v>
      </x:c>
      <x:c r="F206" s="189" t="n">
        <x:f>IF(G206="definiert",MIN('Stationen Abfrage dataprocessor'!$G$45,'Stationen Abfrage dataprocessor'!$H$45+1),"")</x:f>
        <x:v>46073</x:v>
      </x:c>
      <x:c r="G206" s="182" t="str">
        <x:f>IF(D206="nein","nicht_anwendbar",IF(D206&lt;&gt;"ja","Konfiguration fehlt",IF(OR(NOT(ISNUMBER('Stationen Abfrage dataprocessor'!$E$45)),NOT(ISNUMBER('Stationen Abfrage dataprocessor'!$F$45)),NOT(ISNUMBER('Stationen Abfrage dataprocessor'!$G$45)),NOT(ISNUMBER('Stationen Abfrage dataprocessor'!$H$45))),"Konfiguration fehlt",IF((MIN('Stationen Abfrage dataprocessor'!$G$45,'Stationen Abfrage dataprocessor'!$H$45+1))&lt;=(MAX('Stationen Abfrage dataprocessor'!$E$45,'Stationen Abfrage dataprocessor'!$F$45)),"kein_beobachtetes_fenster","definiert"))))</x:f>
        <x:v>definiert</x:v>
      </x:c>
      <x:c r="H206" s="182" t="str">
        <x:v>nein</x:v>
      </x:c>
      <x:c r="I206" s="182" t="str">
        <x:v>nein</x:v>
      </x:c>
      <x:c r="J206" s="182" t="str">
        <x:f>"nicht Voraussetzung"</x:f>
        <x:v>nicht Voraussetzung</x:v>
      </x:c>
      <x:c r="K206" s="190" t="n">
        <x:f>IF(G206="definiert",F206-E206,"")</x:f>
        <x:v>56</x:v>
      </x:c>
      <x:c r="L206" s="182" t="n">
        <x:v>45</x:v>
      </x:c>
      <x:c r="M206" s="182" t="str">
        <x:f>IF('Stationen Abfrage dataprocessor'!$K$45="","",'Stationen Abfrage dataprocessor'!$K$45)</x:f>
      </x:c>
      <x:c r="N206" s="182" t="str">
        <x:f>Definitionen!$B$2</x:f>
        <x:v>IP-COHORT-2026-10-28-01</x:v>
      </x:c>
    </x:row>
    <x:row r="207" ht="30" customHeight="1">
      <x:c r="A207" s="182" t="str">
        <x:f>'Stationen Abfrage dataprocessor'!$A$45</x:f>
        <x:v>UK Halle</x:v>
      </x:c>
      <x:c r="B207" s="182" t="str">
        <x:f>'Stationen Abfrage dataprocessor'!$D$45</x:f>
        <x:v>HCH</x:v>
      </x:c>
      <x:c r="C207" s="182" t="str">
        <x:v>CRS-B</x:v>
      </x:c>
      <x:c r="D207" s="182" t="str">
        <x:f>'Stationen Abfrage dataprocessor'!$O$45</x:f>
        <x:v>ja</x:v>
      </x:c>
      <x:c r="E207" s="189" t="n">
        <x:f>IF(G207="definiert",MAX('Stationen Abfrage dataprocessor'!$E$45,'Stationen Abfrage dataprocessor'!$G$45),"")</x:f>
        <x:v>46073</x:v>
      </x:c>
      <x:c r="F207" s="189" t="n">
        <x:f>IF(G207="definiert",'Stationen Abfrage dataprocessor'!$H$45+1,"")</x:f>
        <x:v>46266</x:v>
      </x:c>
      <x:c r="G207" s="182" t="str">
        <x:f>IF(D207="nein","nicht_anwendbar",IF(D207&lt;&gt;"ja","Konfiguration fehlt",IF(OR(NOT(ISNUMBER('Stationen Abfrage dataprocessor'!$E$45)),NOT(ISNUMBER('Stationen Abfrage dataprocessor'!$G$45)),NOT(ISNUMBER('Stationen Abfrage dataprocessor'!$H$45))),"Konfiguration fehlt",IF(('Stationen Abfrage dataprocessor'!$H$45+1)&lt;=(MAX('Stationen Abfrage dataprocessor'!$E$45,'Stationen Abfrage dataprocessor'!$G$45)),"kein_beobachtetes_fenster","definiert"))))</x:f>
        <x:v>definiert</x:v>
      </x:c>
      <x:c r="H207" s="182" t="str">
        <x:v>nein</x:v>
      </x:c>
      <x:c r="I207" s="182" t="str">
        <x:v>nein</x:v>
      </x:c>
      <x:c r="J207" s="182" t="str">
        <x:f>'Stationen Abfrage dataprocessor'!$S$45</x:f>
        <x:v>fallbezogen prüfen</x:v>
      </x:c>
      <x:c r="K207" s="190" t="n">
        <x:f>IF(G207="definiert",F207-E207,"")</x:f>
        <x:v>193</x:v>
      </x:c>
      <x:c r="L207" s="182" t="n">
        <x:v>45</x:v>
      </x:c>
      <x:c r="M207" s="182" t="str">
        <x:f>IF('Stationen Abfrage dataprocessor'!$K$45="","",'Stationen Abfrage dataprocessor'!$K$45)</x:f>
      </x:c>
      <x:c r="N207" s="182" t="str">
        <x:f>Definitionen!$B$2</x:f>
        <x:v>IP-COHORT-2026-10-28-01</x:v>
      </x:c>
    </x:row>
    <x:row r="208" ht="30" customHeight="1">
      <x:c r="A208" s="182" t="str">
        <x:f>'Stationen Abfrage dataprocessor'!$A$45</x:f>
        <x:v>UK Halle</x:v>
      </x:c>
      <x:c r="B208" s="182" t="str">
        <x:f>'Stationen Abfrage dataprocessor'!$D$45</x:f>
        <x:v>HCH</x:v>
      </x:c>
      <x:c r="C208" s="182" t="str">
        <x:v>RES</x:v>
      </x:c>
      <x:c r="D208" s="182" t="str">
        <x:f>'Stationen Abfrage dataprocessor'!$P$45</x:f>
        <x:v>ja</x:v>
      </x:c>
      <x:c r="E208" s="189" t="n">
        <x:f>IF(G208="definiert",MAX('Stationen Abfrage dataprocessor'!$E$45,'Stationen Abfrage dataprocessor'!$G$45),"")</x:f>
        <x:v>46073</x:v>
      </x:c>
      <x:c r="F208" s="189" t="n">
        <x:f>IF(G208="definiert",'Stationen Abfrage dataprocessor'!$H$45+1,"")</x:f>
        <x:v>46266</x:v>
      </x:c>
      <x:c r="G208" s="182" t="str">
        <x:f>IF(D208="nein","nicht_anwendbar",IF(D208&lt;&gt;"ja","Konfiguration fehlt",IF(OR(NOT(ISNUMBER('Stationen Abfrage dataprocessor'!$E$45)),NOT(ISNUMBER('Stationen Abfrage dataprocessor'!$G$45)),NOT(ISNUMBER('Stationen Abfrage dataprocessor'!$H$45))),"Konfiguration fehlt",IF(('Stationen Abfrage dataprocessor'!$H$45+1)&lt;=(MAX('Stationen Abfrage dataprocessor'!$E$45,'Stationen Abfrage dataprocessor'!$G$45)),"kein_beobachtetes_fenster","definiert"))))</x:f>
        <x:v>definiert</x:v>
      </x:c>
      <x:c r="H208" s="182" t="str">
        <x:v>ja</x:v>
      </x:c>
      <x:c r="I208" s="182" t="str">
        <x:v>ja</x:v>
      </x:c>
      <x:c r="J208" s="182" t="str">
        <x:f>'Stationen Abfrage dataprocessor'!$S$45</x:f>
        <x:v>fallbezogen prüfen</x:v>
      </x:c>
      <x:c r="K208" s="190" t="n">
        <x:f>IF(G208="definiert",F208-E208,"")</x:f>
        <x:v>193</x:v>
      </x:c>
      <x:c r="L208" s="182" t="n">
        <x:v>45</x:v>
      </x:c>
      <x:c r="M208" s="182" t="str">
        <x:f>IF('Stationen Abfrage dataprocessor'!$K$45="","",'Stationen Abfrage dataprocessor'!$K$45)</x:f>
      </x:c>
      <x:c r="N208" s="182" t="str">
        <x:f>Definitionen!$B$2</x:f>
        <x:v>IP-COHORT-2026-10-28-01</x:v>
      </x:c>
    </x:row>
    <x:row r="209" ht="30" customHeight="1">
      <x:c r="A209" s="182" t="str">
        <x:f>'Stationen Abfrage dataprocessor'!$A$45</x:f>
        <x:v>UK Halle</x:v>
      </x:c>
      <x:c r="B209" s="182" t="str">
        <x:f>'Stationen Abfrage dataprocessor'!$D$45</x:f>
        <x:v>HCH</x:v>
      </x:c>
      <x:c r="C209" s="182" t="str">
        <x:v>TRS</x:v>
      </x:c>
      <x:c r="D209" s="182" t="str">
        <x:f>'Stationen Abfrage dataprocessor'!$Q$45</x:f>
        <x:v>ja</x:v>
      </x:c>
      <x:c r="E209" s="189" t="n">
        <x:f>IF(G209="definiert",'Stationen Abfrage dataprocessor'!$E$45,"")</x:f>
        <x:v>45838</x:v>
      </x:c>
      <x:c r="F209" s="189" t="n">
        <x:f>IF(G209="definiert",'Stationen Abfrage dataprocessor'!$H$45+1,"")</x:f>
        <x:v>46266</x:v>
      </x:c>
      <x:c r="G209" s="182" t="str">
        <x:f>IF(D209="nein","nicht_anwendbar",IF(D209&lt;&gt;"ja","Konfiguration fehlt",IF(OR(NOT(ISNUMBER('Stationen Abfrage dataprocessor'!$E$45)),NOT(ISNUMBER('Stationen Abfrage dataprocessor'!$H$45))),"Konfiguration fehlt",IF(('Stationen Abfrage dataprocessor'!$H$45+1)&lt;=('Stationen Abfrage dataprocessor'!$E$45),"kein_beobachtetes_fenster","definiert"))))</x:f>
        <x:v>definiert</x:v>
      </x:c>
      <x:c r="H209" s="182" t="str">
        <x:v>ja</x:v>
      </x:c>
      <x:c r="I209" s="182" t="str">
        <x:v>nein</x:v>
      </x:c>
      <x:c r="J209" s="182" t="str">
        <x:f>"nicht Voraussetzung"</x:f>
        <x:v>nicht Voraussetzung</x:v>
      </x:c>
      <x:c r="K209" s="190" t="n">
        <x:f>IF(G209="definiert",F209-E209,"")</x:f>
        <x:v>428</x:v>
      </x:c>
      <x:c r="L209" s="182" t="n">
        <x:v>45</x:v>
      </x:c>
      <x:c r="M209" s="182" t="str">
        <x:f>IF('Stationen Abfrage dataprocessor'!$K$45="","",'Stationen Abfrage dataprocessor'!$K$45)</x:f>
      </x:c>
      <x:c r="N209" s="182" t="str">
        <x:f>Definitionen!$B$2</x:f>
        <x:v>IP-COHORT-2026-10-28-01</x:v>
      </x:c>
    </x:row>
    <x:row r="210" ht="30" customHeight="1">
      <x:c r="A210" s="182" t="str">
        <x:f>'Stationen Abfrage dataprocessor'!$A$46</x:f>
        <x:v>UK Heidelberg</x:v>
      </x:c>
      <x:c r="B210" s="182" t="str">
        <x:f>'Stationen Abfrage dataprocessor'!$D$46</x:f>
        <x:v>HNO 2</x:v>
      </x:c>
      <x:c r="C210" s="182" t="str">
        <x:v>BS</x:v>
      </x:c>
      <x:c r="D210" s="182" t="str">
        <x:f>'Stationen Abfrage dataprocessor'!$M$46</x:f>
        <x:v>ja</x:v>
      </x:c>
      <x:c r="E210" s="189" t="n">
        <x:f>IF(G210="definiert",'Stationen Abfrage dataprocessor'!$E$46,"")</x:f>
        <x:v>45901</x:v>
      </x:c>
      <x:c r="F210" s="189" t="n">
        <x:f>IF(G210="definiert",IF('Stationen Abfrage dataprocessor'!$T$46="Studienende",'Stationen Abfrage dataprocessor'!$H$46+1,MIN('Stationen Abfrage dataprocessor'!$F$46,'Stationen Abfrage dataprocessor'!$H$46+1)),"")</x:f>
        <x:v>46052</x:v>
      </x:c>
      <x:c r="G210" s="182" t="str">
        <x:f>IF(D210="nein","nicht_anwendbar",IF(D210&lt;&gt;"ja","Konfiguration fehlt",IF(OR(NOT(ISNUMBER('Stationen Abfrage dataprocessor'!$E$46)),NOT(ISNUMBER('Stationen Abfrage dataprocessor'!$H$46)),AND('Stationen Abfrage dataprocessor'!$T$46&lt;&gt;"Phasengrenze",'Stationen Abfrage dataprocessor'!$T$46&lt;&gt;"Studienende"),AND('Stationen Abfrage dataprocessor'!$T$46="Phasengrenze",NOT(ISNUMBER('Stationen Abfrage dataprocessor'!$F$46)))),"Konfiguration fehlt",IF((IF('Stationen Abfrage dataprocessor'!$T$46="Studienende",'Stationen Abfrage dataprocessor'!$H$46+1,MIN('Stationen Abfrage dataprocessor'!$F$46,'Stationen Abfrage dataprocessor'!$H$46+1)))&lt;=('Stationen Abfrage dataprocessor'!$E$46),"kein_beobachtetes_fenster","definiert"))))</x:f>
        <x:v>definiert</x:v>
      </x:c>
      <x:c r="H210" s="182" t="str">
        <x:v>nein</x:v>
      </x:c>
      <x:c r="I210" s="182" t="str">
        <x:v>nein</x:v>
      </x:c>
      <x:c r="J210" s="182" t="str">
        <x:f>"nicht Voraussetzung"</x:f>
        <x:v>nicht Voraussetzung</x:v>
      </x:c>
      <x:c r="K210" s="190" t="n">
        <x:f>IF(G210="definiert",F210-E210,"")</x:f>
        <x:v>151</x:v>
      </x:c>
      <x:c r="L210" s="182" t="n">
        <x:v>46</x:v>
      </x:c>
      <x:c r="M210" s="182" t="str">
        <x:f>IF('Stationen Abfrage dataprocessor'!$K$46="","",'Stationen Abfrage dataprocessor'!$K$46)</x:f>
      </x:c>
      <x:c r="N210" s="182" t="str">
        <x:f>Definitionen!$B$2</x:f>
        <x:v>IP-COHORT-2026-10-28-01</x:v>
      </x:c>
    </x:row>
    <x:row r="211" ht="30" customHeight="1">
      <x:c r="A211" s="182" t="str">
        <x:f>'Stationen Abfrage dataprocessor'!$A$46</x:f>
        <x:v>UK Heidelberg</x:v>
      </x:c>
      <x:c r="B211" s="182" t="str">
        <x:f>'Stationen Abfrage dataprocessor'!$D$46</x:f>
        <x:v>HNO 2</x:v>
      </x:c>
      <x:c r="C211" s="182" t="str">
        <x:v>CRS-A</x:v>
      </x:c>
      <x:c r="D211" s="182" t="str">
        <x:f>'Stationen Abfrage dataprocessor'!$N$46</x:f>
        <x:v>ja</x:v>
      </x:c>
      <x:c r="E211" s="189" t="n">
        <x:f>IF(G211="definiert",MAX('Stationen Abfrage dataprocessor'!$E$46,'Stationen Abfrage dataprocessor'!$F$46),"")</x:f>
        <x:v>46052</x:v>
      </x:c>
      <x:c r="F211" s="189" t="n">
        <x:f>IF(G211="definiert",MIN('Stationen Abfrage dataprocessor'!$G$46,'Stationen Abfrage dataprocessor'!$H$46+1),"")</x:f>
        <x:v>46080</x:v>
      </x:c>
      <x:c r="G211" s="182" t="str">
        <x:f>IF(D211="nein","nicht_anwendbar",IF(D211&lt;&gt;"ja","Konfiguration fehlt",IF(OR(NOT(ISNUMBER('Stationen Abfrage dataprocessor'!$E$46)),NOT(ISNUMBER('Stationen Abfrage dataprocessor'!$F$46)),NOT(ISNUMBER('Stationen Abfrage dataprocessor'!$G$46)),NOT(ISNUMBER('Stationen Abfrage dataprocessor'!$H$46))),"Konfiguration fehlt",IF((MIN('Stationen Abfrage dataprocessor'!$G$46,'Stationen Abfrage dataprocessor'!$H$46+1))&lt;=(MAX('Stationen Abfrage dataprocessor'!$E$46,'Stationen Abfrage dataprocessor'!$F$46)),"kein_beobachtetes_fenster","definiert"))))</x:f>
        <x:v>definiert</x:v>
      </x:c>
      <x:c r="H211" s="182" t="str">
        <x:v>nein</x:v>
      </x:c>
      <x:c r="I211" s="182" t="str">
        <x:v>nein</x:v>
      </x:c>
      <x:c r="J211" s="182" t="str">
        <x:f>"nicht Voraussetzung"</x:f>
        <x:v>nicht Voraussetzung</x:v>
      </x:c>
      <x:c r="K211" s="190" t="n">
        <x:f>IF(G211="definiert",F211-E211,"")</x:f>
        <x:v>28</x:v>
      </x:c>
      <x:c r="L211" s="182" t="n">
        <x:v>46</x:v>
      </x:c>
      <x:c r="M211" s="182" t="str">
        <x:f>IF('Stationen Abfrage dataprocessor'!$K$46="","",'Stationen Abfrage dataprocessor'!$K$46)</x:f>
      </x:c>
      <x:c r="N211" s="182" t="str">
        <x:f>Definitionen!$B$2</x:f>
        <x:v>IP-COHORT-2026-10-28-01</x:v>
      </x:c>
    </x:row>
    <x:row r="212" ht="30" customHeight="1">
      <x:c r="A212" s="182" t="str">
        <x:f>'Stationen Abfrage dataprocessor'!$A$46</x:f>
        <x:v>UK Heidelberg</x:v>
      </x:c>
      <x:c r="B212" s="182" t="str">
        <x:f>'Stationen Abfrage dataprocessor'!$D$46</x:f>
        <x:v>HNO 2</x:v>
      </x:c>
      <x:c r="C212" s="182" t="str">
        <x:v>CRS-B</x:v>
      </x:c>
      <x:c r="D212" s="182" t="str">
        <x:f>'Stationen Abfrage dataprocessor'!$O$46</x:f>
        <x:v>ja</x:v>
      </x:c>
      <x:c r="E212" s="189" t="n">
        <x:f>IF(G212="definiert",MAX('Stationen Abfrage dataprocessor'!$E$46,'Stationen Abfrage dataprocessor'!$G$46),"")</x:f>
        <x:v>46080</x:v>
      </x:c>
      <x:c r="F212" s="189" t="n">
        <x:f>IF(G212="definiert",'Stationen Abfrage dataprocessor'!$H$46+1,"")</x:f>
        <x:v>46266</x:v>
      </x:c>
      <x:c r="G212" s="182" t="str">
        <x:f>IF(D212="nein","nicht_anwendbar",IF(D212&lt;&gt;"ja","Konfiguration fehlt",IF(OR(NOT(ISNUMBER('Stationen Abfrage dataprocessor'!$E$46)),NOT(ISNUMBER('Stationen Abfrage dataprocessor'!$G$46)),NOT(ISNUMBER('Stationen Abfrage dataprocessor'!$H$46))),"Konfiguration fehlt",IF(('Stationen Abfrage dataprocessor'!$H$46+1)&lt;=(MAX('Stationen Abfrage dataprocessor'!$E$46,'Stationen Abfrage dataprocessor'!$G$46)),"kein_beobachtetes_fenster","definiert"))))</x:f>
        <x:v>definiert</x:v>
      </x:c>
      <x:c r="H212" s="182" t="str">
        <x:v>nein</x:v>
      </x:c>
      <x:c r="I212" s="182" t="str">
        <x:v>nein</x:v>
      </x:c>
      <x:c r="J212" s="182" t="str">
        <x:f>'Stationen Abfrage dataprocessor'!$S$46</x:f>
        <x:v>fallbezogen prüfen</x:v>
      </x:c>
      <x:c r="K212" s="190" t="n">
        <x:f>IF(G212="definiert",F212-E212,"")</x:f>
        <x:v>186</x:v>
      </x:c>
      <x:c r="L212" s="182" t="n">
        <x:v>46</x:v>
      </x:c>
      <x:c r="M212" s="182" t="str">
        <x:f>IF('Stationen Abfrage dataprocessor'!$K$46="","",'Stationen Abfrage dataprocessor'!$K$46)</x:f>
      </x:c>
      <x:c r="N212" s="182" t="str">
        <x:f>Definitionen!$B$2</x:f>
        <x:v>IP-COHORT-2026-10-28-01</x:v>
      </x:c>
    </x:row>
    <x:row r="213" ht="30" customHeight="1">
      <x:c r="A213" s="182" t="str">
        <x:f>'Stationen Abfrage dataprocessor'!$A$46</x:f>
        <x:v>UK Heidelberg</x:v>
      </x:c>
      <x:c r="B213" s="182" t="str">
        <x:f>'Stationen Abfrage dataprocessor'!$D$46</x:f>
        <x:v>HNO 2</x:v>
      </x:c>
      <x:c r="C213" s="182" t="str">
        <x:v>RES</x:v>
      </x:c>
      <x:c r="D213" s="182" t="str">
        <x:f>'Stationen Abfrage dataprocessor'!$P$46</x:f>
        <x:v>ja</x:v>
      </x:c>
      <x:c r="E213" s="189" t="n">
        <x:f>IF(G213="definiert",MAX('Stationen Abfrage dataprocessor'!$E$46,'Stationen Abfrage dataprocessor'!$G$46),"")</x:f>
        <x:v>46080</x:v>
      </x:c>
      <x:c r="F213" s="189" t="n">
        <x:f>IF(G213="definiert",'Stationen Abfrage dataprocessor'!$H$46+1,"")</x:f>
        <x:v>46266</x:v>
      </x:c>
      <x:c r="G213" s="182" t="str">
        <x:f>IF(D213="nein","nicht_anwendbar",IF(D213&lt;&gt;"ja","Konfiguration fehlt",IF(OR(NOT(ISNUMBER('Stationen Abfrage dataprocessor'!$E$46)),NOT(ISNUMBER('Stationen Abfrage dataprocessor'!$G$46)),NOT(ISNUMBER('Stationen Abfrage dataprocessor'!$H$46))),"Konfiguration fehlt",IF(('Stationen Abfrage dataprocessor'!$H$46+1)&lt;=(MAX('Stationen Abfrage dataprocessor'!$E$46,'Stationen Abfrage dataprocessor'!$G$46)),"kein_beobachtetes_fenster","definiert"))))</x:f>
        <x:v>definiert</x:v>
      </x:c>
      <x:c r="H213" s="182" t="str">
        <x:v>ja</x:v>
      </x:c>
      <x:c r="I213" s="182" t="str">
        <x:v>ja</x:v>
      </x:c>
      <x:c r="J213" s="182" t="str">
        <x:f>'Stationen Abfrage dataprocessor'!$S$46</x:f>
        <x:v>fallbezogen prüfen</x:v>
      </x:c>
      <x:c r="K213" s="190" t="n">
        <x:f>IF(G213="definiert",F213-E213,"")</x:f>
        <x:v>186</x:v>
      </x:c>
      <x:c r="L213" s="182" t="n">
        <x:v>46</x:v>
      </x:c>
      <x:c r="M213" s="182" t="str">
        <x:f>IF('Stationen Abfrage dataprocessor'!$K$46="","",'Stationen Abfrage dataprocessor'!$K$46)</x:f>
      </x:c>
      <x:c r="N213" s="182" t="str">
        <x:f>Definitionen!$B$2</x:f>
        <x:v>IP-COHORT-2026-10-28-01</x:v>
      </x:c>
    </x:row>
    <x:row r="214" ht="30" customHeight="1">
      <x:c r="A214" s="182" t="str">
        <x:f>'Stationen Abfrage dataprocessor'!$A$46</x:f>
        <x:v>UK Heidelberg</x:v>
      </x:c>
      <x:c r="B214" s="182" t="str">
        <x:f>'Stationen Abfrage dataprocessor'!$D$46</x:f>
        <x:v>HNO 2</x:v>
      </x:c>
      <x:c r="C214" s="182" t="str">
        <x:v>TRS</x:v>
      </x:c>
      <x:c r="D214" s="182" t="str">
        <x:f>'Stationen Abfrage dataprocessor'!$Q$46</x:f>
        <x:v>ja</x:v>
      </x:c>
      <x:c r="E214" s="189" t="n">
        <x:f>IF(G214="definiert",'Stationen Abfrage dataprocessor'!$E$46,"")</x:f>
        <x:v>45901</x:v>
      </x:c>
      <x:c r="F214" s="189" t="n">
        <x:f>IF(G214="definiert",'Stationen Abfrage dataprocessor'!$H$46+1,"")</x:f>
        <x:v>46266</x:v>
      </x:c>
      <x:c r="G214" s="182" t="str">
        <x:f>IF(D214="nein","nicht_anwendbar",IF(D214&lt;&gt;"ja","Konfiguration fehlt",IF(OR(NOT(ISNUMBER('Stationen Abfrage dataprocessor'!$E$46)),NOT(ISNUMBER('Stationen Abfrage dataprocessor'!$H$46))),"Konfiguration fehlt",IF(('Stationen Abfrage dataprocessor'!$H$46+1)&lt;=('Stationen Abfrage dataprocessor'!$E$46),"kein_beobachtetes_fenster","definiert"))))</x:f>
        <x:v>definiert</x:v>
      </x:c>
      <x:c r="H214" s="182" t="str">
        <x:v>ja</x:v>
      </x:c>
      <x:c r="I214" s="182" t="str">
        <x:v>nein</x:v>
      </x:c>
      <x:c r="J214" s="182" t="str">
        <x:f>"nicht Voraussetzung"</x:f>
        <x:v>nicht Voraussetzung</x:v>
      </x:c>
      <x:c r="K214" s="190" t="n">
        <x:f>IF(G214="definiert",F214-E214,"")</x:f>
        <x:v>365</x:v>
      </x:c>
      <x:c r="L214" s="182" t="n">
        <x:v>46</x:v>
      </x:c>
      <x:c r="M214" s="182" t="str">
        <x:f>IF('Stationen Abfrage dataprocessor'!$K$46="","",'Stationen Abfrage dataprocessor'!$K$46)</x:f>
      </x:c>
      <x:c r="N214" s="182" t="str">
        <x:f>Definitionen!$B$2</x:f>
        <x:v>IP-COHORT-2026-10-28-01</x:v>
      </x:c>
    </x:row>
    <x:row r="215" ht="30" customHeight="1">
      <x:c r="A215" s="182" t="str">
        <x:f>'Stationen Abfrage dataprocessor'!$A$47</x:f>
        <x:v>UK Heidelberg</x:v>
      </x:c>
      <x:c r="B215" s="182" t="str">
        <x:f>'Stationen Abfrage dataprocessor'!$D$47</x:f>
        <x:v>Neuro 1</x:v>
      </x:c>
      <x:c r="C215" s="182" t="str">
        <x:v>BS</x:v>
      </x:c>
      <x:c r="D215" s="182" t="str">
        <x:f>'Stationen Abfrage dataprocessor'!$M$47</x:f>
        <x:v>ja</x:v>
      </x:c>
      <x:c r="E215" s="189" t="n">
        <x:f>IF(G215="definiert",'Stationen Abfrage dataprocessor'!$E$47,"")</x:f>
        <x:v>45901</x:v>
      </x:c>
      <x:c r="F215" s="189" t="n">
        <x:f>IF(G215="definiert",IF('Stationen Abfrage dataprocessor'!$T$47="Studienende",'Stationen Abfrage dataprocessor'!$H$47+1,MIN('Stationen Abfrage dataprocessor'!$F$47,'Stationen Abfrage dataprocessor'!$H$47+1)),"")</x:f>
        <x:v>46052</x:v>
      </x:c>
      <x:c r="G215" s="182" t="str">
        <x:f>IF(D215="nein","nicht_anwendbar",IF(D215&lt;&gt;"ja","Konfiguration fehlt",IF(OR(NOT(ISNUMBER('Stationen Abfrage dataprocessor'!$E$47)),NOT(ISNUMBER('Stationen Abfrage dataprocessor'!$H$47)),AND('Stationen Abfrage dataprocessor'!$T$47&lt;&gt;"Phasengrenze",'Stationen Abfrage dataprocessor'!$T$47&lt;&gt;"Studienende"),AND('Stationen Abfrage dataprocessor'!$T$47="Phasengrenze",NOT(ISNUMBER('Stationen Abfrage dataprocessor'!$F$47)))),"Konfiguration fehlt",IF((IF('Stationen Abfrage dataprocessor'!$T$47="Studienende",'Stationen Abfrage dataprocessor'!$H$47+1,MIN('Stationen Abfrage dataprocessor'!$F$47,'Stationen Abfrage dataprocessor'!$H$47+1)))&lt;=('Stationen Abfrage dataprocessor'!$E$47),"kein_beobachtetes_fenster","definiert"))))</x:f>
        <x:v>definiert</x:v>
      </x:c>
      <x:c r="H215" s="182" t="str">
        <x:v>nein</x:v>
      </x:c>
      <x:c r="I215" s="182" t="str">
        <x:v>nein</x:v>
      </x:c>
      <x:c r="J215" s="182" t="str">
        <x:f>"nicht Voraussetzung"</x:f>
        <x:v>nicht Voraussetzung</x:v>
      </x:c>
      <x:c r="K215" s="190" t="n">
        <x:f>IF(G215="definiert",F215-E215,"")</x:f>
        <x:v>151</x:v>
      </x:c>
      <x:c r="L215" s="182" t="n">
        <x:v>47</x:v>
      </x:c>
      <x:c r="M215" s="182" t="str">
        <x:f>IF('Stationen Abfrage dataprocessor'!$K$47="","",'Stationen Abfrage dataprocessor'!$K$47)</x:f>
      </x:c>
      <x:c r="N215" s="182" t="str">
        <x:f>Definitionen!$B$2</x:f>
        <x:v>IP-COHORT-2026-10-28-01</x:v>
      </x:c>
    </x:row>
    <x:row r="216" ht="30" customHeight="1">
      <x:c r="A216" s="182" t="str">
        <x:f>'Stationen Abfrage dataprocessor'!$A$47</x:f>
        <x:v>UK Heidelberg</x:v>
      </x:c>
      <x:c r="B216" s="182" t="str">
        <x:f>'Stationen Abfrage dataprocessor'!$D$47</x:f>
        <x:v>Neuro 1</x:v>
      </x:c>
      <x:c r="C216" s="182" t="str">
        <x:v>CRS-A</x:v>
      </x:c>
      <x:c r="D216" s="182" t="str">
        <x:f>'Stationen Abfrage dataprocessor'!$N$47</x:f>
        <x:v>ja</x:v>
      </x:c>
      <x:c r="E216" s="189" t="n">
        <x:f>IF(G216="definiert",MAX('Stationen Abfrage dataprocessor'!$E$47,'Stationen Abfrage dataprocessor'!$F$47),"")</x:f>
        <x:v>46052</x:v>
      </x:c>
      <x:c r="F216" s="189" t="n">
        <x:f>IF(G216="definiert",MIN('Stationen Abfrage dataprocessor'!$G$47,'Stationen Abfrage dataprocessor'!$H$47+1),"")</x:f>
        <x:v>46080</x:v>
      </x:c>
      <x:c r="G216" s="182" t="str">
        <x:f>IF(D216="nein","nicht_anwendbar",IF(D216&lt;&gt;"ja","Konfiguration fehlt",IF(OR(NOT(ISNUMBER('Stationen Abfrage dataprocessor'!$E$47)),NOT(ISNUMBER('Stationen Abfrage dataprocessor'!$F$47)),NOT(ISNUMBER('Stationen Abfrage dataprocessor'!$G$47)),NOT(ISNUMBER('Stationen Abfrage dataprocessor'!$H$47))),"Konfiguration fehlt",IF((MIN('Stationen Abfrage dataprocessor'!$G$47,'Stationen Abfrage dataprocessor'!$H$47+1))&lt;=(MAX('Stationen Abfrage dataprocessor'!$E$47,'Stationen Abfrage dataprocessor'!$F$47)),"kein_beobachtetes_fenster","definiert"))))</x:f>
        <x:v>definiert</x:v>
      </x:c>
      <x:c r="H216" s="182" t="str">
        <x:v>nein</x:v>
      </x:c>
      <x:c r="I216" s="182" t="str">
        <x:v>nein</x:v>
      </x:c>
      <x:c r="J216" s="182" t="str">
        <x:f>"nicht Voraussetzung"</x:f>
        <x:v>nicht Voraussetzung</x:v>
      </x:c>
      <x:c r="K216" s="190" t="n">
        <x:f>IF(G216="definiert",F216-E216,"")</x:f>
        <x:v>28</x:v>
      </x:c>
      <x:c r="L216" s="182" t="n">
        <x:v>47</x:v>
      </x:c>
      <x:c r="M216" s="182" t="str">
        <x:f>IF('Stationen Abfrage dataprocessor'!$K$47="","",'Stationen Abfrage dataprocessor'!$K$47)</x:f>
      </x:c>
      <x:c r="N216" s="182" t="str">
        <x:f>Definitionen!$B$2</x:f>
        <x:v>IP-COHORT-2026-10-28-01</x:v>
      </x:c>
    </x:row>
    <x:row r="217" ht="30" customHeight="1">
      <x:c r="A217" s="182" t="str">
        <x:f>'Stationen Abfrage dataprocessor'!$A$47</x:f>
        <x:v>UK Heidelberg</x:v>
      </x:c>
      <x:c r="B217" s="182" t="str">
        <x:f>'Stationen Abfrage dataprocessor'!$D$47</x:f>
        <x:v>Neuro 1</x:v>
      </x:c>
      <x:c r="C217" s="182" t="str">
        <x:v>CRS-B</x:v>
      </x:c>
      <x:c r="D217" s="182" t="str">
        <x:f>'Stationen Abfrage dataprocessor'!$O$47</x:f>
        <x:v>ja</x:v>
      </x:c>
      <x:c r="E217" s="189" t="n">
        <x:f>IF(G217="definiert",MAX('Stationen Abfrage dataprocessor'!$E$47,'Stationen Abfrage dataprocessor'!$G$47),"")</x:f>
        <x:v>46080</x:v>
      </x:c>
      <x:c r="F217" s="189" t="n">
        <x:f>IF(G217="definiert",'Stationen Abfrage dataprocessor'!$H$47+1,"")</x:f>
        <x:v>46266</x:v>
      </x:c>
      <x:c r="G217" s="182" t="str">
        <x:f>IF(D217="nein","nicht_anwendbar",IF(D217&lt;&gt;"ja","Konfiguration fehlt",IF(OR(NOT(ISNUMBER('Stationen Abfrage dataprocessor'!$E$47)),NOT(ISNUMBER('Stationen Abfrage dataprocessor'!$G$47)),NOT(ISNUMBER('Stationen Abfrage dataprocessor'!$H$47))),"Konfiguration fehlt",IF(('Stationen Abfrage dataprocessor'!$H$47+1)&lt;=(MAX('Stationen Abfrage dataprocessor'!$E$47,'Stationen Abfrage dataprocessor'!$G$47)),"kein_beobachtetes_fenster","definiert"))))</x:f>
        <x:v>definiert</x:v>
      </x:c>
      <x:c r="H217" s="182" t="str">
        <x:v>nein</x:v>
      </x:c>
      <x:c r="I217" s="182" t="str">
        <x:v>nein</x:v>
      </x:c>
      <x:c r="J217" s="182" t="str">
        <x:f>'Stationen Abfrage dataprocessor'!$S$47</x:f>
        <x:v>fallbezogen prüfen</x:v>
      </x:c>
      <x:c r="K217" s="190" t="n">
        <x:f>IF(G217="definiert",F217-E217,"")</x:f>
        <x:v>186</x:v>
      </x:c>
      <x:c r="L217" s="182" t="n">
        <x:v>47</x:v>
      </x:c>
      <x:c r="M217" s="182" t="str">
        <x:f>IF('Stationen Abfrage dataprocessor'!$K$47="","",'Stationen Abfrage dataprocessor'!$K$47)</x:f>
      </x:c>
      <x:c r="N217" s="182" t="str">
        <x:f>Definitionen!$B$2</x:f>
        <x:v>IP-COHORT-2026-10-28-01</x:v>
      </x:c>
    </x:row>
    <x:row r="218" ht="30" customHeight="1">
      <x:c r="A218" s="182" t="str">
        <x:f>'Stationen Abfrage dataprocessor'!$A$47</x:f>
        <x:v>UK Heidelberg</x:v>
      </x:c>
      <x:c r="B218" s="182" t="str">
        <x:f>'Stationen Abfrage dataprocessor'!$D$47</x:f>
        <x:v>Neuro 1</x:v>
      </x:c>
      <x:c r="C218" s="182" t="str">
        <x:v>RES</x:v>
      </x:c>
      <x:c r="D218" s="182" t="str">
        <x:f>'Stationen Abfrage dataprocessor'!$P$47</x:f>
        <x:v>ja</x:v>
      </x:c>
      <x:c r="E218" s="189" t="n">
        <x:f>IF(G218="definiert",MAX('Stationen Abfrage dataprocessor'!$E$47,'Stationen Abfrage dataprocessor'!$G$47),"")</x:f>
        <x:v>46080</x:v>
      </x:c>
      <x:c r="F218" s="189" t="n">
        <x:f>IF(G218="definiert",'Stationen Abfrage dataprocessor'!$H$47+1,"")</x:f>
        <x:v>46266</x:v>
      </x:c>
      <x:c r="G218" s="182" t="str">
        <x:f>IF(D218="nein","nicht_anwendbar",IF(D218&lt;&gt;"ja","Konfiguration fehlt",IF(OR(NOT(ISNUMBER('Stationen Abfrage dataprocessor'!$E$47)),NOT(ISNUMBER('Stationen Abfrage dataprocessor'!$G$47)),NOT(ISNUMBER('Stationen Abfrage dataprocessor'!$H$47))),"Konfiguration fehlt",IF(('Stationen Abfrage dataprocessor'!$H$47+1)&lt;=(MAX('Stationen Abfrage dataprocessor'!$E$47,'Stationen Abfrage dataprocessor'!$G$47)),"kein_beobachtetes_fenster","definiert"))))</x:f>
        <x:v>definiert</x:v>
      </x:c>
      <x:c r="H218" s="182" t="str">
        <x:v>ja</x:v>
      </x:c>
      <x:c r="I218" s="182" t="str">
        <x:v>ja</x:v>
      </x:c>
      <x:c r="J218" s="182" t="str">
        <x:f>'Stationen Abfrage dataprocessor'!$S$47</x:f>
        <x:v>fallbezogen prüfen</x:v>
      </x:c>
      <x:c r="K218" s="190" t="n">
        <x:f>IF(G218="definiert",F218-E218,"")</x:f>
        <x:v>186</x:v>
      </x:c>
      <x:c r="L218" s="182" t="n">
        <x:v>47</x:v>
      </x:c>
      <x:c r="M218" s="182" t="str">
        <x:f>IF('Stationen Abfrage dataprocessor'!$K$47="","",'Stationen Abfrage dataprocessor'!$K$47)</x:f>
      </x:c>
      <x:c r="N218" s="182" t="str">
        <x:f>Definitionen!$B$2</x:f>
        <x:v>IP-COHORT-2026-10-28-01</x:v>
      </x:c>
    </x:row>
    <x:row r="219" ht="30" customHeight="1">
      <x:c r="A219" s="182" t="str">
        <x:f>'Stationen Abfrage dataprocessor'!$A$47</x:f>
        <x:v>UK Heidelberg</x:v>
      </x:c>
      <x:c r="B219" s="182" t="str">
        <x:f>'Stationen Abfrage dataprocessor'!$D$47</x:f>
        <x:v>Neuro 1</x:v>
      </x:c>
      <x:c r="C219" s="182" t="str">
        <x:v>TRS</x:v>
      </x:c>
      <x:c r="D219" s="182" t="str">
        <x:f>'Stationen Abfrage dataprocessor'!$Q$47</x:f>
        <x:v>ja</x:v>
      </x:c>
      <x:c r="E219" s="189" t="n">
        <x:f>IF(G219="definiert",'Stationen Abfrage dataprocessor'!$E$47,"")</x:f>
        <x:v>45901</x:v>
      </x:c>
      <x:c r="F219" s="189" t="n">
        <x:f>IF(G219="definiert",'Stationen Abfrage dataprocessor'!$H$47+1,"")</x:f>
        <x:v>46266</x:v>
      </x:c>
      <x:c r="G219" s="182" t="str">
        <x:f>IF(D219="nein","nicht_anwendbar",IF(D219&lt;&gt;"ja","Konfiguration fehlt",IF(OR(NOT(ISNUMBER('Stationen Abfrage dataprocessor'!$E$47)),NOT(ISNUMBER('Stationen Abfrage dataprocessor'!$H$47))),"Konfiguration fehlt",IF(('Stationen Abfrage dataprocessor'!$H$47+1)&lt;=('Stationen Abfrage dataprocessor'!$E$47),"kein_beobachtetes_fenster","definiert"))))</x:f>
        <x:v>definiert</x:v>
      </x:c>
      <x:c r="H219" s="182" t="str">
        <x:v>ja</x:v>
      </x:c>
      <x:c r="I219" s="182" t="str">
        <x:v>nein</x:v>
      </x:c>
      <x:c r="J219" s="182" t="str">
        <x:f>"nicht Voraussetzung"</x:f>
        <x:v>nicht Voraussetzung</x:v>
      </x:c>
      <x:c r="K219" s="190" t="n">
        <x:f>IF(G219="definiert",F219-E219,"")</x:f>
        <x:v>365</x:v>
      </x:c>
      <x:c r="L219" s="182" t="n">
        <x:v>47</x:v>
      </x:c>
      <x:c r="M219" s="182" t="str">
        <x:f>IF('Stationen Abfrage dataprocessor'!$K$47="","",'Stationen Abfrage dataprocessor'!$K$47)</x:f>
      </x:c>
      <x:c r="N219" s="182" t="str">
        <x:f>Definitionen!$B$2</x:f>
        <x:v>IP-COHORT-2026-10-28-01</x:v>
      </x:c>
    </x:row>
    <x:row r="220" ht="30" customHeight="1">
      <x:c r="A220" s="182" t="str">
        <x:f>'Stationen Abfrage dataprocessor'!$A$48</x:f>
        <x:v>UK Heidelberg</x:v>
      </x:c>
      <x:c r="B220" s="182" t="str">
        <x:f>'Stationen Abfrage dataprocessor'!$D$48</x:f>
        <x:v>Ortho F2</x:v>
      </x:c>
      <x:c r="C220" s="182" t="str">
        <x:v>BS</x:v>
      </x:c>
      <x:c r="D220" s="182" t="str">
        <x:f>'Stationen Abfrage dataprocessor'!$M$48</x:f>
        <x:v>ja</x:v>
      </x:c>
      <x:c r="E220" s="189" t="n">
        <x:f>IF(G220="definiert",'Stationen Abfrage dataprocessor'!$E$48,"")</x:f>
        <x:v>45901</x:v>
      </x:c>
      <x:c r="F220" s="189" t="n">
        <x:f>IF(G220="definiert",IF('Stationen Abfrage dataprocessor'!$T$48="Studienende",'Stationen Abfrage dataprocessor'!$H$48+1,MIN('Stationen Abfrage dataprocessor'!$F$48,'Stationen Abfrage dataprocessor'!$H$48+1)),"")</x:f>
        <x:v>46052</x:v>
      </x:c>
      <x:c r="G220" s="182" t="str">
        <x:f>IF(D220="nein","nicht_anwendbar",IF(D220&lt;&gt;"ja","Konfiguration fehlt",IF(OR(NOT(ISNUMBER('Stationen Abfrage dataprocessor'!$E$48)),NOT(ISNUMBER('Stationen Abfrage dataprocessor'!$H$48)),AND('Stationen Abfrage dataprocessor'!$T$48&lt;&gt;"Phasengrenze",'Stationen Abfrage dataprocessor'!$T$48&lt;&gt;"Studienende"),AND('Stationen Abfrage dataprocessor'!$T$48="Phasengrenze",NOT(ISNUMBER('Stationen Abfrage dataprocessor'!$F$48)))),"Konfiguration fehlt",IF((IF('Stationen Abfrage dataprocessor'!$T$48="Studienende",'Stationen Abfrage dataprocessor'!$H$48+1,MIN('Stationen Abfrage dataprocessor'!$F$48,'Stationen Abfrage dataprocessor'!$H$48+1)))&lt;=('Stationen Abfrage dataprocessor'!$E$48),"kein_beobachtetes_fenster","definiert"))))</x:f>
        <x:v>definiert</x:v>
      </x:c>
      <x:c r="H220" s="182" t="str">
        <x:v>nein</x:v>
      </x:c>
      <x:c r="I220" s="182" t="str">
        <x:v>nein</x:v>
      </x:c>
      <x:c r="J220" s="182" t="str">
        <x:f>"nicht Voraussetzung"</x:f>
        <x:v>nicht Voraussetzung</x:v>
      </x:c>
      <x:c r="K220" s="190" t="n">
        <x:f>IF(G220="definiert",F220-E220,"")</x:f>
        <x:v>151</x:v>
      </x:c>
      <x:c r="L220" s="182" t="n">
        <x:v>48</x:v>
      </x:c>
      <x:c r="M220" s="182" t="str">
        <x:f>IF('Stationen Abfrage dataprocessor'!$K$48="","",'Stationen Abfrage dataprocessor'!$K$48)</x:f>
      </x:c>
      <x:c r="N220" s="182" t="str">
        <x:f>Definitionen!$B$2</x:f>
        <x:v>IP-COHORT-2026-10-28-01</x:v>
      </x:c>
    </x:row>
    <x:row r="221" ht="30" customHeight="1">
      <x:c r="A221" s="182" t="str">
        <x:f>'Stationen Abfrage dataprocessor'!$A$48</x:f>
        <x:v>UK Heidelberg</x:v>
      </x:c>
      <x:c r="B221" s="182" t="str">
        <x:f>'Stationen Abfrage dataprocessor'!$D$48</x:f>
        <x:v>Ortho F2</x:v>
      </x:c>
      <x:c r="C221" s="182" t="str">
        <x:v>CRS-A</x:v>
      </x:c>
      <x:c r="D221" s="182" t="str">
        <x:f>'Stationen Abfrage dataprocessor'!$N$48</x:f>
        <x:v>ja</x:v>
      </x:c>
      <x:c r="E221" s="189" t="n">
        <x:f>IF(G221="definiert",MAX('Stationen Abfrage dataprocessor'!$E$48,'Stationen Abfrage dataprocessor'!$F$48),"")</x:f>
        <x:v>46052</x:v>
      </x:c>
      <x:c r="F221" s="189" t="n">
        <x:f>IF(G221="definiert",MIN('Stationen Abfrage dataprocessor'!$G$48,'Stationen Abfrage dataprocessor'!$H$48+1),"")</x:f>
        <x:v>46108</x:v>
      </x:c>
      <x:c r="G221" s="182" t="str">
        <x:f>IF(D221="nein","nicht_anwendbar",IF(D221&lt;&gt;"ja","Konfiguration fehlt",IF(OR(NOT(ISNUMBER('Stationen Abfrage dataprocessor'!$E$48)),NOT(ISNUMBER('Stationen Abfrage dataprocessor'!$F$48)),NOT(ISNUMBER('Stationen Abfrage dataprocessor'!$G$48)),NOT(ISNUMBER('Stationen Abfrage dataprocessor'!$H$48))),"Konfiguration fehlt",IF((MIN('Stationen Abfrage dataprocessor'!$G$48,'Stationen Abfrage dataprocessor'!$H$48+1))&lt;=(MAX('Stationen Abfrage dataprocessor'!$E$48,'Stationen Abfrage dataprocessor'!$F$48)),"kein_beobachtetes_fenster","definiert"))))</x:f>
        <x:v>definiert</x:v>
      </x:c>
      <x:c r="H221" s="182" t="str">
        <x:v>nein</x:v>
      </x:c>
      <x:c r="I221" s="182" t="str">
        <x:v>nein</x:v>
      </x:c>
      <x:c r="J221" s="182" t="str">
        <x:f>"nicht Voraussetzung"</x:f>
        <x:v>nicht Voraussetzung</x:v>
      </x:c>
      <x:c r="K221" s="190" t="n">
        <x:f>IF(G221="definiert",F221-E221,"")</x:f>
        <x:v>56</x:v>
      </x:c>
      <x:c r="L221" s="182" t="n">
        <x:v>48</x:v>
      </x:c>
      <x:c r="M221" s="182" t="str">
        <x:f>IF('Stationen Abfrage dataprocessor'!$K$48="","",'Stationen Abfrage dataprocessor'!$K$48)</x:f>
      </x:c>
      <x:c r="N221" s="182" t="str">
        <x:f>Definitionen!$B$2</x:f>
        <x:v>IP-COHORT-2026-10-28-01</x:v>
      </x:c>
    </x:row>
    <x:row r="222" ht="30" customHeight="1">
      <x:c r="A222" s="182" t="str">
        <x:f>'Stationen Abfrage dataprocessor'!$A$48</x:f>
        <x:v>UK Heidelberg</x:v>
      </x:c>
      <x:c r="B222" s="182" t="str">
        <x:f>'Stationen Abfrage dataprocessor'!$D$48</x:f>
        <x:v>Ortho F2</x:v>
      </x:c>
      <x:c r="C222" s="182" t="str">
        <x:v>CRS-B</x:v>
      </x:c>
      <x:c r="D222" s="182" t="str">
        <x:f>'Stationen Abfrage dataprocessor'!$O$48</x:f>
        <x:v>ja</x:v>
      </x:c>
      <x:c r="E222" s="189" t="n">
        <x:f>IF(G222="definiert",MAX('Stationen Abfrage dataprocessor'!$E$48,'Stationen Abfrage dataprocessor'!$G$48),"")</x:f>
        <x:v>46108</x:v>
      </x:c>
      <x:c r="F222" s="189" t="n">
        <x:f>IF(G222="definiert",'Stationen Abfrage dataprocessor'!$H$48+1,"")</x:f>
        <x:v>46266</x:v>
      </x:c>
      <x:c r="G222" s="182" t="str">
        <x:f>IF(D222="nein","nicht_anwendbar",IF(D222&lt;&gt;"ja","Konfiguration fehlt",IF(OR(NOT(ISNUMBER('Stationen Abfrage dataprocessor'!$E$48)),NOT(ISNUMBER('Stationen Abfrage dataprocessor'!$G$48)),NOT(ISNUMBER('Stationen Abfrage dataprocessor'!$H$48))),"Konfiguration fehlt",IF(('Stationen Abfrage dataprocessor'!$H$48+1)&lt;=(MAX('Stationen Abfrage dataprocessor'!$E$48,'Stationen Abfrage dataprocessor'!$G$48)),"kein_beobachtetes_fenster","definiert"))))</x:f>
        <x:v>definiert</x:v>
      </x:c>
      <x:c r="H222" s="182" t="str">
        <x:v>nein</x:v>
      </x:c>
      <x:c r="I222" s="182" t="str">
        <x:v>nein</x:v>
      </x:c>
      <x:c r="J222" s="182" t="str">
        <x:f>'Stationen Abfrage dataprocessor'!$S$48</x:f>
        <x:v>fallbezogen prüfen</x:v>
      </x:c>
      <x:c r="K222" s="190" t="n">
        <x:f>IF(G222="definiert",F222-E222,"")</x:f>
        <x:v>158</x:v>
      </x:c>
      <x:c r="L222" s="182" t="n">
        <x:v>48</x:v>
      </x:c>
      <x:c r="M222" s="182" t="str">
        <x:f>IF('Stationen Abfrage dataprocessor'!$K$48="","",'Stationen Abfrage dataprocessor'!$K$48)</x:f>
      </x:c>
      <x:c r="N222" s="182" t="str">
        <x:f>Definitionen!$B$2</x:f>
        <x:v>IP-COHORT-2026-10-28-01</x:v>
      </x:c>
    </x:row>
    <x:row r="223" ht="30" customHeight="1">
      <x:c r="A223" s="182" t="str">
        <x:f>'Stationen Abfrage dataprocessor'!$A$48</x:f>
        <x:v>UK Heidelberg</x:v>
      </x:c>
      <x:c r="B223" s="182" t="str">
        <x:f>'Stationen Abfrage dataprocessor'!$D$48</x:f>
        <x:v>Ortho F2</x:v>
      </x:c>
      <x:c r="C223" s="182" t="str">
        <x:v>RES</x:v>
      </x:c>
      <x:c r="D223" s="182" t="str">
        <x:f>'Stationen Abfrage dataprocessor'!$P$48</x:f>
        <x:v>ja</x:v>
      </x:c>
      <x:c r="E223" s="189" t="n">
        <x:f>IF(G223="definiert",MAX('Stationen Abfrage dataprocessor'!$E$48,'Stationen Abfrage dataprocessor'!$G$48),"")</x:f>
        <x:v>46108</x:v>
      </x:c>
      <x:c r="F223" s="189" t="n">
        <x:f>IF(G223="definiert",'Stationen Abfrage dataprocessor'!$H$48+1,"")</x:f>
        <x:v>46266</x:v>
      </x:c>
      <x:c r="G223" s="182" t="str">
        <x:f>IF(D223="nein","nicht_anwendbar",IF(D223&lt;&gt;"ja","Konfiguration fehlt",IF(OR(NOT(ISNUMBER('Stationen Abfrage dataprocessor'!$E$48)),NOT(ISNUMBER('Stationen Abfrage dataprocessor'!$G$48)),NOT(ISNUMBER('Stationen Abfrage dataprocessor'!$H$48))),"Konfiguration fehlt",IF(('Stationen Abfrage dataprocessor'!$H$48+1)&lt;=(MAX('Stationen Abfrage dataprocessor'!$E$48,'Stationen Abfrage dataprocessor'!$G$48)),"kein_beobachtetes_fenster","definiert"))))</x:f>
        <x:v>definiert</x:v>
      </x:c>
      <x:c r="H223" s="182" t="str">
        <x:v>ja</x:v>
      </x:c>
      <x:c r="I223" s="182" t="str">
        <x:v>ja</x:v>
      </x:c>
      <x:c r="J223" s="182" t="str">
        <x:f>'Stationen Abfrage dataprocessor'!$S$48</x:f>
        <x:v>fallbezogen prüfen</x:v>
      </x:c>
      <x:c r="K223" s="190" t="n">
        <x:f>IF(G223="definiert",F223-E223,"")</x:f>
        <x:v>158</x:v>
      </x:c>
      <x:c r="L223" s="182" t="n">
        <x:v>48</x:v>
      </x:c>
      <x:c r="M223" s="182" t="str">
        <x:f>IF('Stationen Abfrage dataprocessor'!$K$48="","",'Stationen Abfrage dataprocessor'!$K$48)</x:f>
      </x:c>
      <x:c r="N223" s="182" t="str">
        <x:f>Definitionen!$B$2</x:f>
        <x:v>IP-COHORT-2026-10-28-01</x:v>
      </x:c>
    </x:row>
    <x:row r="224" ht="30" customHeight="1">
      <x:c r="A224" s="182" t="str">
        <x:f>'Stationen Abfrage dataprocessor'!$A$48</x:f>
        <x:v>UK Heidelberg</x:v>
      </x:c>
      <x:c r="B224" s="182" t="str">
        <x:f>'Stationen Abfrage dataprocessor'!$D$48</x:f>
        <x:v>Ortho F2</x:v>
      </x:c>
      <x:c r="C224" s="182" t="str">
        <x:v>TRS</x:v>
      </x:c>
      <x:c r="D224" s="182" t="str">
        <x:f>'Stationen Abfrage dataprocessor'!$Q$48</x:f>
        <x:v>ja</x:v>
      </x:c>
      <x:c r="E224" s="189" t="n">
        <x:f>IF(G224="definiert",'Stationen Abfrage dataprocessor'!$E$48,"")</x:f>
        <x:v>45901</x:v>
      </x:c>
      <x:c r="F224" s="189" t="n">
        <x:f>IF(G224="definiert",'Stationen Abfrage dataprocessor'!$H$48+1,"")</x:f>
        <x:v>46266</x:v>
      </x:c>
      <x:c r="G224" s="182" t="str">
        <x:f>IF(D224="nein","nicht_anwendbar",IF(D224&lt;&gt;"ja","Konfiguration fehlt",IF(OR(NOT(ISNUMBER('Stationen Abfrage dataprocessor'!$E$48)),NOT(ISNUMBER('Stationen Abfrage dataprocessor'!$H$48))),"Konfiguration fehlt",IF(('Stationen Abfrage dataprocessor'!$H$48+1)&lt;=('Stationen Abfrage dataprocessor'!$E$48),"kein_beobachtetes_fenster","definiert"))))</x:f>
        <x:v>definiert</x:v>
      </x:c>
      <x:c r="H224" s="182" t="str">
        <x:v>ja</x:v>
      </x:c>
      <x:c r="I224" s="182" t="str">
        <x:v>nein</x:v>
      </x:c>
      <x:c r="J224" s="182" t="str">
        <x:f>"nicht Voraussetzung"</x:f>
        <x:v>nicht Voraussetzung</x:v>
      </x:c>
      <x:c r="K224" s="190" t="n">
        <x:f>IF(G224="definiert",F224-E224,"")</x:f>
        <x:v>365</x:v>
      </x:c>
      <x:c r="L224" s="182" t="n">
        <x:v>48</x:v>
      </x:c>
      <x:c r="M224" s="182" t="str">
        <x:f>IF('Stationen Abfrage dataprocessor'!$K$48="","",'Stationen Abfrage dataprocessor'!$K$48)</x:f>
      </x:c>
      <x:c r="N224" s="182" t="str">
        <x:f>Definitionen!$B$2</x:f>
        <x:v>IP-COHORT-2026-10-28-01</x:v>
      </x:c>
    </x:row>
    <x:row r="225" ht="30" customHeight="1">
      <x:c r="A225" s="182" t="str">
        <x:f>'Stationen Abfrage dataprocessor'!$A$49</x:f>
        <x:v>UK Heidelberg</x:v>
      </x:c>
      <x:c r="B225" s="182" t="str">
        <x:f>'Stationen Abfrage dataprocessor'!$D$49</x:f>
        <x:v>RAD</x:v>
      </x:c>
      <x:c r="C225" s="182" t="str">
        <x:v>BS</x:v>
      </x:c>
      <x:c r="D225" s="182" t="str">
        <x:f>'Stationen Abfrage dataprocessor'!$M$49</x:f>
        <x:v>ja</x:v>
      </x:c>
      <x:c r="E225" s="189" t="n">
        <x:f>IF(G225="definiert",'Stationen Abfrage dataprocessor'!$E$49,"")</x:f>
        <x:v>45901</x:v>
      </x:c>
      <x:c r="F225" s="189" t="n">
        <x:f>IF(G225="definiert",IF('Stationen Abfrage dataprocessor'!$T$49="Studienende",'Stationen Abfrage dataprocessor'!$H$49+1,MIN('Stationen Abfrage dataprocessor'!$F$49,'Stationen Abfrage dataprocessor'!$H$49+1)),"")</x:f>
        <x:v>46052</x:v>
      </x:c>
      <x:c r="G225" s="182" t="str">
        <x:f>IF(D225="nein","nicht_anwendbar",IF(D225&lt;&gt;"ja","Konfiguration fehlt",IF(OR(NOT(ISNUMBER('Stationen Abfrage dataprocessor'!$E$49)),NOT(ISNUMBER('Stationen Abfrage dataprocessor'!$H$49)),AND('Stationen Abfrage dataprocessor'!$T$49&lt;&gt;"Phasengrenze",'Stationen Abfrage dataprocessor'!$T$49&lt;&gt;"Studienende"),AND('Stationen Abfrage dataprocessor'!$T$49="Phasengrenze",NOT(ISNUMBER('Stationen Abfrage dataprocessor'!$F$49)))),"Konfiguration fehlt",IF((IF('Stationen Abfrage dataprocessor'!$T$49="Studienende",'Stationen Abfrage dataprocessor'!$H$49+1,MIN('Stationen Abfrage dataprocessor'!$F$49,'Stationen Abfrage dataprocessor'!$H$49+1)))&lt;=('Stationen Abfrage dataprocessor'!$E$49),"kein_beobachtetes_fenster","definiert"))))</x:f>
        <x:v>definiert</x:v>
      </x:c>
      <x:c r="H225" s="182" t="str">
        <x:v>nein</x:v>
      </x:c>
      <x:c r="I225" s="182" t="str">
        <x:v>nein</x:v>
      </x:c>
      <x:c r="J225" s="182" t="str">
        <x:f>"nicht Voraussetzung"</x:f>
        <x:v>nicht Voraussetzung</x:v>
      </x:c>
      <x:c r="K225" s="190" t="n">
        <x:f>IF(G225="definiert",F225-E225,"")</x:f>
        <x:v>151</x:v>
      </x:c>
      <x:c r="L225" s="182" t="n">
        <x:v>49</x:v>
      </x:c>
      <x:c r="M225" s="182" t="str">
        <x:f>IF('Stationen Abfrage dataprocessor'!$K$49="","",'Stationen Abfrage dataprocessor'!$K$49)</x:f>
      </x:c>
      <x:c r="N225" s="182" t="str">
        <x:f>Definitionen!$B$2</x:f>
        <x:v>IP-COHORT-2026-10-28-01</x:v>
      </x:c>
    </x:row>
    <x:row r="226" ht="30" customHeight="1">
      <x:c r="A226" s="182" t="str">
        <x:f>'Stationen Abfrage dataprocessor'!$A$49</x:f>
        <x:v>UK Heidelberg</x:v>
      </x:c>
      <x:c r="B226" s="182" t="str">
        <x:f>'Stationen Abfrage dataprocessor'!$D$49</x:f>
        <x:v>RAD</x:v>
      </x:c>
      <x:c r="C226" s="182" t="str">
        <x:v>CRS-A</x:v>
      </x:c>
      <x:c r="D226" s="182" t="str">
        <x:f>'Stationen Abfrage dataprocessor'!$N$49</x:f>
        <x:v>ja</x:v>
      </x:c>
      <x:c r="E226" s="189" t="n">
        <x:f>IF(G226="definiert",MAX('Stationen Abfrage dataprocessor'!$E$49,'Stationen Abfrage dataprocessor'!$F$49),"")</x:f>
        <x:v>46052</x:v>
      </x:c>
      <x:c r="F226" s="189" t="n">
        <x:f>IF(G226="definiert",MIN('Stationen Abfrage dataprocessor'!$G$49,'Stationen Abfrage dataprocessor'!$H$49+1),"")</x:f>
        <x:v>46108</x:v>
      </x:c>
      <x:c r="G226" s="182" t="str">
        <x:f>IF(D226="nein","nicht_anwendbar",IF(D226&lt;&gt;"ja","Konfiguration fehlt",IF(OR(NOT(ISNUMBER('Stationen Abfrage dataprocessor'!$E$49)),NOT(ISNUMBER('Stationen Abfrage dataprocessor'!$F$49)),NOT(ISNUMBER('Stationen Abfrage dataprocessor'!$G$49)),NOT(ISNUMBER('Stationen Abfrage dataprocessor'!$H$49))),"Konfiguration fehlt",IF((MIN('Stationen Abfrage dataprocessor'!$G$49,'Stationen Abfrage dataprocessor'!$H$49+1))&lt;=(MAX('Stationen Abfrage dataprocessor'!$E$49,'Stationen Abfrage dataprocessor'!$F$49)),"kein_beobachtetes_fenster","definiert"))))</x:f>
        <x:v>definiert</x:v>
      </x:c>
      <x:c r="H226" s="182" t="str">
        <x:v>nein</x:v>
      </x:c>
      <x:c r="I226" s="182" t="str">
        <x:v>nein</x:v>
      </x:c>
      <x:c r="J226" s="182" t="str">
        <x:f>"nicht Voraussetzung"</x:f>
        <x:v>nicht Voraussetzung</x:v>
      </x:c>
      <x:c r="K226" s="190" t="n">
        <x:f>IF(G226="definiert",F226-E226,"")</x:f>
        <x:v>56</x:v>
      </x:c>
      <x:c r="L226" s="182" t="n">
        <x:v>49</x:v>
      </x:c>
      <x:c r="M226" s="182" t="str">
        <x:f>IF('Stationen Abfrage dataprocessor'!$K$49="","",'Stationen Abfrage dataprocessor'!$K$49)</x:f>
      </x:c>
      <x:c r="N226" s="182" t="str">
        <x:f>Definitionen!$B$2</x:f>
        <x:v>IP-COHORT-2026-10-28-01</x:v>
      </x:c>
    </x:row>
    <x:row r="227" ht="30" customHeight="1">
      <x:c r="A227" s="182" t="str">
        <x:f>'Stationen Abfrage dataprocessor'!$A$49</x:f>
        <x:v>UK Heidelberg</x:v>
      </x:c>
      <x:c r="B227" s="182" t="str">
        <x:f>'Stationen Abfrage dataprocessor'!$D$49</x:f>
        <x:v>RAD</x:v>
      </x:c>
      <x:c r="C227" s="182" t="str">
        <x:v>CRS-B</x:v>
      </x:c>
      <x:c r="D227" s="182" t="str">
        <x:f>'Stationen Abfrage dataprocessor'!$O$49</x:f>
        <x:v>ja</x:v>
      </x:c>
      <x:c r="E227" s="189" t="n">
        <x:f>IF(G227="definiert",MAX('Stationen Abfrage dataprocessor'!$E$49,'Stationen Abfrage dataprocessor'!$G$49),"")</x:f>
        <x:v>46108</x:v>
      </x:c>
      <x:c r="F227" s="189" t="n">
        <x:f>IF(G227="definiert",'Stationen Abfrage dataprocessor'!$H$49+1,"")</x:f>
        <x:v>46266</x:v>
      </x:c>
      <x:c r="G227" s="182" t="str">
        <x:f>IF(D227="nein","nicht_anwendbar",IF(D227&lt;&gt;"ja","Konfiguration fehlt",IF(OR(NOT(ISNUMBER('Stationen Abfrage dataprocessor'!$E$49)),NOT(ISNUMBER('Stationen Abfrage dataprocessor'!$G$49)),NOT(ISNUMBER('Stationen Abfrage dataprocessor'!$H$49))),"Konfiguration fehlt",IF(('Stationen Abfrage dataprocessor'!$H$49+1)&lt;=(MAX('Stationen Abfrage dataprocessor'!$E$49,'Stationen Abfrage dataprocessor'!$G$49)),"kein_beobachtetes_fenster","definiert"))))</x:f>
        <x:v>definiert</x:v>
      </x:c>
      <x:c r="H227" s="182" t="str">
        <x:v>nein</x:v>
      </x:c>
      <x:c r="I227" s="182" t="str">
        <x:v>nein</x:v>
      </x:c>
      <x:c r="J227" s="182" t="str">
        <x:f>'Stationen Abfrage dataprocessor'!$S$49</x:f>
        <x:v>fallbezogen prüfen</x:v>
      </x:c>
      <x:c r="K227" s="190" t="n">
        <x:f>IF(G227="definiert",F227-E227,"")</x:f>
        <x:v>158</x:v>
      </x:c>
      <x:c r="L227" s="182" t="n">
        <x:v>49</x:v>
      </x:c>
      <x:c r="M227" s="182" t="str">
        <x:f>IF('Stationen Abfrage dataprocessor'!$K$49="","",'Stationen Abfrage dataprocessor'!$K$49)</x:f>
      </x:c>
      <x:c r="N227" s="182" t="str">
        <x:f>Definitionen!$B$2</x:f>
        <x:v>IP-COHORT-2026-10-28-01</x:v>
      </x:c>
    </x:row>
    <x:row r="228" ht="30" customHeight="1">
      <x:c r="A228" s="182" t="str">
        <x:f>'Stationen Abfrage dataprocessor'!$A$49</x:f>
        <x:v>UK Heidelberg</x:v>
      </x:c>
      <x:c r="B228" s="182" t="str">
        <x:f>'Stationen Abfrage dataprocessor'!$D$49</x:f>
        <x:v>RAD</x:v>
      </x:c>
      <x:c r="C228" s="182" t="str">
        <x:v>RES</x:v>
      </x:c>
      <x:c r="D228" s="182" t="str">
        <x:f>'Stationen Abfrage dataprocessor'!$P$49</x:f>
        <x:v>ja</x:v>
      </x:c>
      <x:c r="E228" s="189" t="n">
        <x:f>IF(G228="definiert",MAX('Stationen Abfrage dataprocessor'!$E$49,'Stationen Abfrage dataprocessor'!$G$49),"")</x:f>
        <x:v>46108</x:v>
      </x:c>
      <x:c r="F228" s="189" t="n">
        <x:f>IF(G228="definiert",'Stationen Abfrage dataprocessor'!$H$49+1,"")</x:f>
        <x:v>46266</x:v>
      </x:c>
      <x:c r="G228" s="182" t="str">
        <x:f>IF(D228="nein","nicht_anwendbar",IF(D228&lt;&gt;"ja","Konfiguration fehlt",IF(OR(NOT(ISNUMBER('Stationen Abfrage dataprocessor'!$E$49)),NOT(ISNUMBER('Stationen Abfrage dataprocessor'!$G$49)),NOT(ISNUMBER('Stationen Abfrage dataprocessor'!$H$49))),"Konfiguration fehlt",IF(('Stationen Abfrage dataprocessor'!$H$49+1)&lt;=(MAX('Stationen Abfrage dataprocessor'!$E$49,'Stationen Abfrage dataprocessor'!$G$49)),"kein_beobachtetes_fenster","definiert"))))</x:f>
        <x:v>definiert</x:v>
      </x:c>
      <x:c r="H228" s="182" t="str">
        <x:v>ja</x:v>
      </x:c>
      <x:c r="I228" s="182" t="str">
        <x:v>ja</x:v>
      </x:c>
      <x:c r="J228" s="182" t="str">
        <x:f>'Stationen Abfrage dataprocessor'!$S$49</x:f>
        <x:v>fallbezogen prüfen</x:v>
      </x:c>
      <x:c r="K228" s="190" t="n">
        <x:f>IF(G228="definiert",F228-E228,"")</x:f>
        <x:v>158</x:v>
      </x:c>
      <x:c r="L228" s="182" t="n">
        <x:v>49</x:v>
      </x:c>
      <x:c r="M228" s="182" t="str">
        <x:f>IF('Stationen Abfrage dataprocessor'!$K$49="","",'Stationen Abfrage dataprocessor'!$K$49)</x:f>
      </x:c>
      <x:c r="N228" s="182" t="str">
        <x:f>Definitionen!$B$2</x:f>
        <x:v>IP-COHORT-2026-10-28-01</x:v>
      </x:c>
    </x:row>
    <x:row r="229" ht="30" customHeight="1">
      <x:c r="A229" s="182" t="str">
        <x:f>'Stationen Abfrage dataprocessor'!$A$49</x:f>
        <x:v>UK Heidelberg</x:v>
      </x:c>
      <x:c r="B229" s="182" t="str">
        <x:f>'Stationen Abfrage dataprocessor'!$D$49</x:f>
        <x:v>RAD</x:v>
      </x:c>
      <x:c r="C229" s="182" t="str">
        <x:v>TRS</x:v>
      </x:c>
      <x:c r="D229" s="182" t="str">
        <x:f>'Stationen Abfrage dataprocessor'!$Q$49</x:f>
        <x:v>ja</x:v>
      </x:c>
      <x:c r="E229" s="189" t="n">
        <x:f>IF(G229="definiert",'Stationen Abfrage dataprocessor'!$E$49,"")</x:f>
        <x:v>45901</x:v>
      </x:c>
      <x:c r="F229" s="189" t="n">
        <x:f>IF(G229="definiert",'Stationen Abfrage dataprocessor'!$H$49+1,"")</x:f>
        <x:v>46266</x:v>
      </x:c>
      <x:c r="G229" s="182" t="str">
        <x:f>IF(D229="nein","nicht_anwendbar",IF(D229&lt;&gt;"ja","Konfiguration fehlt",IF(OR(NOT(ISNUMBER('Stationen Abfrage dataprocessor'!$E$49)),NOT(ISNUMBER('Stationen Abfrage dataprocessor'!$H$49))),"Konfiguration fehlt",IF(('Stationen Abfrage dataprocessor'!$H$49+1)&lt;=('Stationen Abfrage dataprocessor'!$E$49),"kein_beobachtetes_fenster","definiert"))))</x:f>
        <x:v>definiert</x:v>
      </x:c>
      <x:c r="H229" s="182" t="str">
        <x:v>ja</x:v>
      </x:c>
      <x:c r="I229" s="182" t="str">
        <x:v>nein</x:v>
      </x:c>
      <x:c r="J229" s="182" t="str">
        <x:f>"nicht Voraussetzung"</x:f>
        <x:v>nicht Voraussetzung</x:v>
      </x:c>
      <x:c r="K229" s="190" t="n">
        <x:f>IF(G229="definiert",F229-E229,"")</x:f>
        <x:v>365</x:v>
      </x:c>
      <x:c r="L229" s="182" t="n">
        <x:v>49</x:v>
      </x:c>
      <x:c r="M229" s="182" t="str">
        <x:f>IF('Stationen Abfrage dataprocessor'!$K$49="","",'Stationen Abfrage dataprocessor'!$K$49)</x:f>
      </x:c>
      <x:c r="N229" s="182" t="str">
        <x:f>Definitionen!$B$2</x:f>
        <x:v>IP-COHORT-2026-10-28-01</x:v>
      </x:c>
    </x:row>
    <x:row r="230" ht="30" customHeight="1">
      <x:c r="A230" s="182" t="str">
        <x:f>'Stationen Abfrage dataprocessor'!$A$50</x:f>
        <x:v>UK Heidelberg</x:v>
      </x:c>
      <x:c r="B230" s="182" t="str">
        <x:f>'Stationen Abfrage dataprocessor'!$D$50</x:f>
        <x:v>HNO 1</x:v>
      </x:c>
      <x:c r="C230" s="182" t="str">
        <x:v>BS</x:v>
      </x:c>
      <x:c r="D230" s="182" t="str">
        <x:f>'Stationen Abfrage dataprocessor'!$M$50</x:f>
        <x:v>ja</x:v>
      </x:c>
      <x:c r="E230" s="189" t="n">
        <x:f>IF(G230="definiert",'Stationen Abfrage dataprocessor'!$E$50,"")</x:f>
        <x:v>45901</x:v>
      </x:c>
      <x:c r="F230" s="189" t="n">
        <x:f>IF(G230="definiert",IF('Stationen Abfrage dataprocessor'!$T$50="Studienende",'Stationen Abfrage dataprocessor'!$H$50+1,MIN('Stationen Abfrage dataprocessor'!$F$50,'Stationen Abfrage dataprocessor'!$H$50+1)),"")</x:f>
        <x:v>46052</x:v>
      </x:c>
      <x:c r="G230" s="182" t="str">
        <x:f>IF(D230="nein","nicht_anwendbar",IF(D230&lt;&gt;"ja","Konfiguration fehlt",IF(OR(NOT(ISNUMBER('Stationen Abfrage dataprocessor'!$E$50)),NOT(ISNUMBER('Stationen Abfrage dataprocessor'!$H$50)),AND('Stationen Abfrage dataprocessor'!$T$50&lt;&gt;"Phasengrenze",'Stationen Abfrage dataprocessor'!$T$50&lt;&gt;"Studienende"),AND('Stationen Abfrage dataprocessor'!$T$50="Phasengrenze",NOT(ISNUMBER('Stationen Abfrage dataprocessor'!$F$50)))),"Konfiguration fehlt",IF((IF('Stationen Abfrage dataprocessor'!$T$50="Studienende",'Stationen Abfrage dataprocessor'!$H$50+1,MIN('Stationen Abfrage dataprocessor'!$F$50,'Stationen Abfrage dataprocessor'!$H$50+1)))&lt;=('Stationen Abfrage dataprocessor'!$E$50),"kein_beobachtetes_fenster","definiert"))))</x:f>
        <x:v>definiert</x:v>
      </x:c>
      <x:c r="H230" s="182" t="str">
        <x:v>nein</x:v>
      </x:c>
      <x:c r="I230" s="182" t="str">
        <x:v>nein</x:v>
      </x:c>
      <x:c r="J230" s="182" t="str">
        <x:f>"nicht Voraussetzung"</x:f>
        <x:v>nicht Voraussetzung</x:v>
      </x:c>
      <x:c r="K230" s="190" t="n">
        <x:f>IF(G230="definiert",F230-E230,"")</x:f>
        <x:v>151</x:v>
      </x:c>
      <x:c r="L230" s="182" t="n">
        <x:v>50</x:v>
      </x:c>
      <x:c r="M230" s="182" t="str">
        <x:f>IF('Stationen Abfrage dataprocessor'!$K$50="","",'Stationen Abfrage dataprocessor'!$K$50)</x:f>
      </x:c>
      <x:c r="N230" s="182" t="str">
        <x:f>Definitionen!$B$2</x:f>
        <x:v>IP-COHORT-2026-10-28-01</x:v>
      </x:c>
    </x:row>
    <x:row r="231" ht="30" customHeight="1">
      <x:c r="A231" s="182" t="str">
        <x:f>'Stationen Abfrage dataprocessor'!$A$50</x:f>
        <x:v>UK Heidelberg</x:v>
      </x:c>
      <x:c r="B231" s="182" t="str">
        <x:f>'Stationen Abfrage dataprocessor'!$D$50</x:f>
        <x:v>HNO 1</x:v>
      </x:c>
      <x:c r="C231" s="182" t="str">
        <x:v>CRS-A</x:v>
      </x:c>
      <x:c r="D231" s="182" t="str">
        <x:f>'Stationen Abfrage dataprocessor'!$N$50</x:f>
        <x:v>ja</x:v>
      </x:c>
      <x:c r="E231" s="189" t="n">
        <x:f>IF(G231="definiert",MAX('Stationen Abfrage dataprocessor'!$E$50,'Stationen Abfrage dataprocessor'!$F$50),"")</x:f>
        <x:v>46052</x:v>
      </x:c>
      <x:c r="F231" s="189" t="n">
        <x:f>IF(G231="definiert",MIN('Stationen Abfrage dataprocessor'!$G$50,'Stationen Abfrage dataprocessor'!$H$50+1),"")</x:f>
        <x:v>46136</x:v>
      </x:c>
      <x:c r="G231" s="182" t="str">
        <x:f>IF(D231="nein","nicht_anwendbar",IF(D231&lt;&gt;"ja","Konfiguration fehlt",IF(OR(NOT(ISNUMBER('Stationen Abfrage dataprocessor'!$E$50)),NOT(ISNUMBER('Stationen Abfrage dataprocessor'!$F$50)),NOT(ISNUMBER('Stationen Abfrage dataprocessor'!$G$50)),NOT(ISNUMBER('Stationen Abfrage dataprocessor'!$H$50))),"Konfiguration fehlt",IF((MIN('Stationen Abfrage dataprocessor'!$G$50,'Stationen Abfrage dataprocessor'!$H$50+1))&lt;=(MAX('Stationen Abfrage dataprocessor'!$E$50,'Stationen Abfrage dataprocessor'!$F$50)),"kein_beobachtetes_fenster","definiert"))))</x:f>
        <x:v>definiert</x:v>
      </x:c>
      <x:c r="H231" s="182" t="str">
        <x:v>nein</x:v>
      </x:c>
      <x:c r="I231" s="182" t="str">
        <x:v>nein</x:v>
      </x:c>
      <x:c r="J231" s="182" t="str">
        <x:f>"nicht Voraussetzung"</x:f>
        <x:v>nicht Voraussetzung</x:v>
      </x:c>
      <x:c r="K231" s="190" t="n">
        <x:f>IF(G231="definiert",F231-E231,"")</x:f>
        <x:v>84</x:v>
      </x:c>
      <x:c r="L231" s="182" t="n">
        <x:v>50</x:v>
      </x:c>
      <x:c r="M231" s="182" t="str">
        <x:f>IF('Stationen Abfrage dataprocessor'!$K$50="","",'Stationen Abfrage dataprocessor'!$K$50)</x:f>
      </x:c>
      <x:c r="N231" s="182" t="str">
        <x:f>Definitionen!$B$2</x:f>
        <x:v>IP-COHORT-2026-10-28-01</x:v>
      </x:c>
    </x:row>
    <x:row r="232" ht="30" customHeight="1">
      <x:c r="A232" s="182" t="str">
        <x:f>'Stationen Abfrage dataprocessor'!$A$50</x:f>
        <x:v>UK Heidelberg</x:v>
      </x:c>
      <x:c r="B232" s="182" t="str">
        <x:f>'Stationen Abfrage dataprocessor'!$D$50</x:f>
        <x:v>HNO 1</x:v>
      </x:c>
      <x:c r="C232" s="182" t="str">
        <x:v>CRS-B</x:v>
      </x:c>
      <x:c r="D232" s="182" t="str">
        <x:f>'Stationen Abfrage dataprocessor'!$O$50</x:f>
        <x:v>ja</x:v>
      </x:c>
      <x:c r="E232" s="189" t="n">
        <x:f>IF(G232="definiert",MAX('Stationen Abfrage dataprocessor'!$E$50,'Stationen Abfrage dataprocessor'!$G$50),"")</x:f>
        <x:v>46136</x:v>
      </x:c>
      <x:c r="F232" s="189" t="n">
        <x:f>IF(G232="definiert",'Stationen Abfrage dataprocessor'!$H$50+1,"")</x:f>
        <x:v>46266</x:v>
      </x:c>
      <x:c r="G232" s="182" t="str">
        <x:f>IF(D232="nein","nicht_anwendbar",IF(D232&lt;&gt;"ja","Konfiguration fehlt",IF(OR(NOT(ISNUMBER('Stationen Abfrage dataprocessor'!$E$50)),NOT(ISNUMBER('Stationen Abfrage dataprocessor'!$G$50)),NOT(ISNUMBER('Stationen Abfrage dataprocessor'!$H$50))),"Konfiguration fehlt",IF(('Stationen Abfrage dataprocessor'!$H$50+1)&lt;=(MAX('Stationen Abfrage dataprocessor'!$E$50,'Stationen Abfrage dataprocessor'!$G$50)),"kein_beobachtetes_fenster","definiert"))))</x:f>
        <x:v>definiert</x:v>
      </x:c>
      <x:c r="H232" s="182" t="str">
        <x:v>nein</x:v>
      </x:c>
      <x:c r="I232" s="182" t="str">
        <x:v>nein</x:v>
      </x:c>
      <x:c r="J232" s="182" t="str">
        <x:f>'Stationen Abfrage dataprocessor'!$S$50</x:f>
        <x:v>fallbezogen prüfen</x:v>
      </x:c>
      <x:c r="K232" s="190" t="n">
        <x:f>IF(G232="definiert",F232-E232,"")</x:f>
        <x:v>130</x:v>
      </x:c>
      <x:c r="L232" s="182" t="n">
        <x:v>50</x:v>
      </x:c>
      <x:c r="M232" s="182" t="str">
        <x:f>IF('Stationen Abfrage dataprocessor'!$K$50="","",'Stationen Abfrage dataprocessor'!$K$50)</x:f>
      </x:c>
      <x:c r="N232" s="182" t="str">
        <x:f>Definitionen!$B$2</x:f>
        <x:v>IP-COHORT-2026-10-28-01</x:v>
      </x:c>
    </x:row>
    <x:row r="233" ht="30" customHeight="1">
      <x:c r="A233" s="182" t="str">
        <x:f>'Stationen Abfrage dataprocessor'!$A$50</x:f>
        <x:v>UK Heidelberg</x:v>
      </x:c>
      <x:c r="B233" s="182" t="str">
        <x:f>'Stationen Abfrage dataprocessor'!$D$50</x:f>
        <x:v>HNO 1</x:v>
      </x:c>
      <x:c r="C233" s="182" t="str">
        <x:v>RES</x:v>
      </x:c>
      <x:c r="D233" s="182" t="str">
        <x:f>'Stationen Abfrage dataprocessor'!$P$50</x:f>
        <x:v>ja</x:v>
      </x:c>
      <x:c r="E233" s="189" t="n">
        <x:f>IF(G233="definiert",MAX('Stationen Abfrage dataprocessor'!$E$50,'Stationen Abfrage dataprocessor'!$G$50),"")</x:f>
        <x:v>46136</x:v>
      </x:c>
      <x:c r="F233" s="189" t="n">
        <x:f>IF(G233="definiert",'Stationen Abfrage dataprocessor'!$H$50+1,"")</x:f>
        <x:v>46266</x:v>
      </x:c>
      <x:c r="G233" s="182" t="str">
        <x:f>IF(D233="nein","nicht_anwendbar",IF(D233&lt;&gt;"ja","Konfiguration fehlt",IF(OR(NOT(ISNUMBER('Stationen Abfrage dataprocessor'!$E$50)),NOT(ISNUMBER('Stationen Abfrage dataprocessor'!$G$50)),NOT(ISNUMBER('Stationen Abfrage dataprocessor'!$H$50))),"Konfiguration fehlt",IF(('Stationen Abfrage dataprocessor'!$H$50+1)&lt;=(MAX('Stationen Abfrage dataprocessor'!$E$50,'Stationen Abfrage dataprocessor'!$G$50)),"kein_beobachtetes_fenster","definiert"))))</x:f>
        <x:v>definiert</x:v>
      </x:c>
      <x:c r="H233" s="182" t="str">
        <x:v>ja</x:v>
      </x:c>
      <x:c r="I233" s="182" t="str">
        <x:v>ja</x:v>
      </x:c>
      <x:c r="J233" s="182" t="str">
        <x:f>'Stationen Abfrage dataprocessor'!$S$50</x:f>
        <x:v>fallbezogen prüfen</x:v>
      </x:c>
      <x:c r="K233" s="190" t="n">
        <x:f>IF(G233="definiert",F233-E233,"")</x:f>
        <x:v>130</x:v>
      </x:c>
      <x:c r="L233" s="182" t="n">
        <x:v>50</x:v>
      </x:c>
      <x:c r="M233" s="182" t="str">
        <x:f>IF('Stationen Abfrage dataprocessor'!$K$50="","",'Stationen Abfrage dataprocessor'!$K$50)</x:f>
      </x:c>
      <x:c r="N233" s="182" t="str">
        <x:f>Definitionen!$B$2</x:f>
        <x:v>IP-COHORT-2026-10-28-01</x:v>
      </x:c>
    </x:row>
    <x:row r="234" ht="30" customHeight="1">
      <x:c r="A234" s="182" t="str">
        <x:f>'Stationen Abfrage dataprocessor'!$A$50</x:f>
        <x:v>UK Heidelberg</x:v>
      </x:c>
      <x:c r="B234" s="182" t="str">
        <x:f>'Stationen Abfrage dataprocessor'!$D$50</x:f>
        <x:v>HNO 1</x:v>
      </x:c>
      <x:c r="C234" s="182" t="str">
        <x:v>TRS</x:v>
      </x:c>
      <x:c r="D234" s="182" t="str">
        <x:f>'Stationen Abfrage dataprocessor'!$Q$50</x:f>
        <x:v>ja</x:v>
      </x:c>
      <x:c r="E234" s="189" t="n">
        <x:f>IF(G234="definiert",'Stationen Abfrage dataprocessor'!$E$50,"")</x:f>
        <x:v>45901</x:v>
      </x:c>
      <x:c r="F234" s="189" t="n">
        <x:f>IF(G234="definiert",'Stationen Abfrage dataprocessor'!$H$50+1,"")</x:f>
        <x:v>46266</x:v>
      </x:c>
      <x:c r="G234" s="182" t="str">
        <x:f>IF(D234="nein","nicht_anwendbar",IF(D234&lt;&gt;"ja","Konfiguration fehlt",IF(OR(NOT(ISNUMBER('Stationen Abfrage dataprocessor'!$E$50)),NOT(ISNUMBER('Stationen Abfrage dataprocessor'!$H$50))),"Konfiguration fehlt",IF(('Stationen Abfrage dataprocessor'!$H$50+1)&lt;=('Stationen Abfrage dataprocessor'!$E$50),"kein_beobachtetes_fenster","definiert"))))</x:f>
        <x:v>definiert</x:v>
      </x:c>
      <x:c r="H234" s="182" t="str">
        <x:v>ja</x:v>
      </x:c>
      <x:c r="I234" s="182" t="str">
        <x:v>nein</x:v>
      </x:c>
      <x:c r="J234" s="182" t="str">
        <x:f>"nicht Voraussetzung"</x:f>
        <x:v>nicht Voraussetzung</x:v>
      </x:c>
      <x:c r="K234" s="190" t="n">
        <x:f>IF(G234="definiert",F234-E234,"")</x:f>
        <x:v>365</x:v>
      </x:c>
      <x:c r="L234" s="182" t="n">
        <x:v>50</x:v>
      </x:c>
      <x:c r="M234" s="182" t="str">
        <x:f>IF('Stationen Abfrage dataprocessor'!$K$50="","",'Stationen Abfrage dataprocessor'!$K$50)</x:f>
      </x:c>
      <x:c r="N234" s="182" t="str">
        <x:f>Definitionen!$B$2</x:f>
        <x:v>IP-COHORT-2026-10-28-01</x:v>
      </x:c>
    </x:row>
    <x:row r="235" ht="30" customHeight="1">
      <x:c r="A235" s="182" t="str">
        <x:f>'Stationen Abfrage dataprocessor'!$A$51</x:f>
        <x:v>UK Heidelberg</x:v>
      </x:c>
      <x:c r="B235" s="182" t="str">
        <x:f>'Stationen Abfrage dataprocessor'!$D$51</x:f>
        <x:v>Ortho J3</x:v>
      </x:c>
      <x:c r="C235" s="182" t="str">
        <x:v>BS</x:v>
      </x:c>
      <x:c r="D235" s="182" t="str">
        <x:f>'Stationen Abfrage dataprocessor'!$M$51</x:f>
        <x:v>ja</x:v>
      </x:c>
      <x:c r="E235" s="189" t="n">
        <x:f>IF(G235="definiert",'Stationen Abfrage dataprocessor'!$E$51,"")</x:f>
        <x:v>45901</x:v>
      </x:c>
      <x:c r="F235" s="189" t="n">
        <x:f>IF(G235="definiert",IF('Stationen Abfrage dataprocessor'!$T$51="Studienende",'Stationen Abfrage dataprocessor'!$H$51+1,MIN('Stationen Abfrage dataprocessor'!$F$51,'Stationen Abfrage dataprocessor'!$H$51+1)),"")</x:f>
        <x:v>46052</x:v>
      </x:c>
      <x:c r="G235" s="182" t="str">
        <x:f>IF(D235="nein","nicht_anwendbar",IF(D235&lt;&gt;"ja","Konfiguration fehlt",IF(OR(NOT(ISNUMBER('Stationen Abfrage dataprocessor'!$E$51)),NOT(ISNUMBER('Stationen Abfrage dataprocessor'!$H$51)),AND('Stationen Abfrage dataprocessor'!$T$51&lt;&gt;"Phasengrenze",'Stationen Abfrage dataprocessor'!$T$51&lt;&gt;"Studienende"),AND('Stationen Abfrage dataprocessor'!$T$51="Phasengrenze",NOT(ISNUMBER('Stationen Abfrage dataprocessor'!$F$51)))),"Konfiguration fehlt",IF((IF('Stationen Abfrage dataprocessor'!$T$51="Studienende",'Stationen Abfrage dataprocessor'!$H$51+1,MIN('Stationen Abfrage dataprocessor'!$F$51,'Stationen Abfrage dataprocessor'!$H$51+1)))&lt;=('Stationen Abfrage dataprocessor'!$E$51),"kein_beobachtetes_fenster","definiert"))))</x:f>
        <x:v>definiert</x:v>
      </x:c>
      <x:c r="H235" s="182" t="str">
        <x:v>nein</x:v>
      </x:c>
      <x:c r="I235" s="182" t="str">
        <x:v>nein</x:v>
      </x:c>
      <x:c r="J235" s="182" t="str">
        <x:f>"nicht Voraussetzung"</x:f>
        <x:v>nicht Voraussetzung</x:v>
      </x:c>
      <x:c r="K235" s="190" t="n">
        <x:f>IF(G235="definiert",F235-E235,"")</x:f>
        <x:v>151</x:v>
      </x:c>
      <x:c r="L235" s="182" t="n">
        <x:v>51</x:v>
      </x:c>
      <x:c r="M235" s="182" t="str">
        <x:f>IF('Stationen Abfrage dataprocessor'!$K$51="","",'Stationen Abfrage dataprocessor'!$K$51)</x:f>
      </x:c>
      <x:c r="N235" s="182" t="str">
        <x:f>Definitionen!$B$2</x:f>
        <x:v>IP-COHORT-2026-10-28-01</x:v>
      </x:c>
    </x:row>
    <x:row r="236" ht="30" customHeight="1">
      <x:c r="A236" s="182" t="str">
        <x:f>'Stationen Abfrage dataprocessor'!$A$51</x:f>
        <x:v>UK Heidelberg</x:v>
      </x:c>
      <x:c r="B236" s="182" t="str">
        <x:f>'Stationen Abfrage dataprocessor'!$D$51</x:f>
        <x:v>Ortho J3</x:v>
      </x:c>
      <x:c r="C236" s="182" t="str">
        <x:v>CRS-A</x:v>
      </x:c>
      <x:c r="D236" s="182" t="str">
        <x:f>'Stationen Abfrage dataprocessor'!$N$51</x:f>
        <x:v>ja</x:v>
      </x:c>
      <x:c r="E236" s="189" t="n">
        <x:f>IF(G236="definiert",MAX('Stationen Abfrage dataprocessor'!$E$51,'Stationen Abfrage dataprocessor'!$F$51),"")</x:f>
        <x:v>46052</x:v>
      </x:c>
      <x:c r="F236" s="189" t="n">
        <x:f>IF(G236="definiert",MIN('Stationen Abfrage dataprocessor'!$G$51,'Stationen Abfrage dataprocessor'!$H$51+1),"")</x:f>
        <x:v>46164</x:v>
      </x:c>
      <x:c r="G236" s="182" t="str">
        <x:f>IF(D236="nein","nicht_anwendbar",IF(D236&lt;&gt;"ja","Konfiguration fehlt",IF(OR(NOT(ISNUMBER('Stationen Abfrage dataprocessor'!$E$51)),NOT(ISNUMBER('Stationen Abfrage dataprocessor'!$F$51)),NOT(ISNUMBER('Stationen Abfrage dataprocessor'!$G$51)),NOT(ISNUMBER('Stationen Abfrage dataprocessor'!$H$51))),"Konfiguration fehlt",IF((MIN('Stationen Abfrage dataprocessor'!$G$51,'Stationen Abfrage dataprocessor'!$H$51+1))&lt;=(MAX('Stationen Abfrage dataprocessor'!$E$51,'Stationen Abfrage dataprocessor'!$F$51)),"kein_beobachtetes_fenster","definiert"))))</x:f>
        <x:v>definiert</x:v>
      </x:c>
      <x:c r="H236" s="182" t="str">
        <x:v>nein</x:v>
      </x:c>
      <x:c r="I236" s="182" t="str">
        <x:v>nein</x:v>
      </x:c>
      <x:c r="J236" s="182" t="str">
        <x:f>"nicht Voraussetzung"</x:f>
        <x:v>nicht Voraussetzung</x:v>
      </x:c>
      <x:c r="K236" s="190" t="n">
        <x:f>IF(G236="definiert",F236-E236,"")</x:f>
        <x:v>112</x:v>
      </x:c>
      <x:c r="L236" s="182" t="n">
        <x:v>51</x:v>
      </x:c>
      <x:c r="M236" s="182" t="str">
        <x:f>IF('Stationen Abfrage dataprocessor'!$K$51="","",'Stationen Abfrage dataprocessor'!$K$51)</x:f>
      </x:c>
      <x:c r="N236" s="182" t="str">
        <x:f>Definitionen!$B$2</x:f>
        <x:v>IP-COHORT-2026-10-28-01</x:v>
      </x:c>
    </x:row>
    <x:row r="237" ht="30" customHeight="1">
      <x:c r="A237" s="182" t="str">
        <x:f>'Stationen Abfrage dataprocessor'!$A$51</x:f>
        <x:v>UK Heidelberg</x:v>
      </x:c>
      <x:c r="B237" s="182" t="str">
        <x:f>'Stationen Abfrage dataprocessor'!$D$51</x:f>
        <x:v>Ortho J3</x:v>
      </x:c>
      <x:c r="C237" s="182" t="str">
        <x:v>CRS-B</x:v>
      </x:c>
      <x:c r="D237" s="182" t="str">
        <x:f>'Stationen Abfrage dataprocessor'!$O$51</x:f>
        <x:v>ja</x:v>
      </x:c>
      <x:c r="E237" s="189" t="n">
        <x:f>IF(G237="definiert",MAX('Stationen Abfrage dataprocessor'!$E$51,'Stationen Abfrage dataprocessor'!$G$51),"")</x:f>
        <x:v>46164</x:v>
      </x:c>
      <x:c r="F237" s="189" t="n">
        <x:f>IF(G237="definiert",'Stationen Abfrage dataprocessor'!$H$51+1,"")</x:f>
        <x:v>46266</x:v>
      </x:c>
      <x:c r="G237" s="182" t="str">
        <x:f>IF(D237="nein","nicht_anwendbar",IF(D237&lt;&gt;"ja","Konfiguration fehlt",IF(OR(NOT(ISNUMBER('Stationen Abfrage dataprocessor'!$E$51)),NOT(ISNUMBER('Stationen Abfrage dataprocessor'!$G$51)),NOT(ISNUMBER('Stationen Abfrage dataprocessor'!$H$51))),"Konfiguration fehlt",IF(('Stationen Abfrage dataprocessor'!$H$51+1)&lt;=(MAX('Stationen Abfrage dataprocessor'!$E$51,'Stationen Abfrage dataprocessor'!$G$51)),"kein_beobachtetes_fenster","definiert"))))</x:f>
        <x:v>definiert</x:v>
      </x:c>
      <x:c r="H237" s="182" t="str">
        <x:v>nein</x:v>
      </x:c>
      <x:c r="I237" s="182" t="str">
        <x:v>nein</x:v>
      </x:c>
      <x:c r="J237" s="182" t="str">
        <x:f>'Stationen Abfrage dataprocessor'!$S$51</x:f>
        <x:v>fallbezogen prüfen</x:v>
      </x:c>
      <x:c r="K237" s="190" t="n">
        <x:f>IF(G237="definiert",F237-E237,"")</x:f>
        <x:v>102</x:v>
      </x:c>
      <x:c r="L237" s="182" t="n">
        <x:v>51</x:v>
      </x:c>
      <x:c r="M237" s="182" t="str">
        <x:f>IF('Stationen Abfrage dataprocessor'!$K$51="","",'Stationen Abfrage dataprocessor'!$K$51)</x:f>
      </x:c>
      <x:c r="N237" s="182" t="str">
        <x:f>Definitionen!$B$2</x:f>
        <x:v>IP-COHORT-2026-10-28-01</x:v>
      </x:c>
    </x:row>
    <x:row r="238" ht="30" customHeight="1">
      <x:c r="A238" s="182" t="str">
        <x:f>'Stationen Abfrage dataprocessor'!$A$51</x:f>
        <x:v>UK Heidelberg</x:v>
      </x:c>
      <x:c r="B238" s="182" t="str">
        <x:f>'Stationen Abfrage dataprocessor'!$D$51</x:f>
        <x:v>Ortho J3</x:v>
      </x:c>
      <x:c r="C238" s="182" t="str">
        <x:v>RES</x:v>
      </x:c>
      <x:c r="D238" s="182" t="str">
        <x:f>'Stationen Abfrage dataprocessor'!$P$51</x:f>
        <x:v>ja</x:v>
      </x:c>
      <x:c r="E238" s="189" t="n">
        <x:f>IF(G238="definiert",MAX('Stationen Abfrage dataprocessor'!$E$51,'Stationen Abfrage dataprocessor'!$G$51),"")</x:f>
        <x:v>46164</x:v>
      </x:c>
      <x:c r="F238" s="189" t="n">
        <x:f>IF(G238="definiert",'Stationen Abfrage dataprocessor'!$H$51+1,"")</x:f>
        <x:v>46266</x:v>
      </x:c>
      <x:c r="G238" s="182" t="str">
        <x:f>IF(D238="nein","nicht_anwendbar",IF(D238&lt;&gt;"ja","Konfiguration fehlt",IF(OR(NOT(ISNUMBER('Stationen Abfrage dataprocessor'!$E$51)),NOT(ISNUMBER('Stationen Abfrage dataprocessor'!$G$51)),NOT(ISNUMBER('Stationen Abfrage dataprocessor'!$H$51))),"Konfiguration fehlt",IF(('Stationen Abfrage dataprocessor'!$H$51+1)&lt;=(MAX('Stationen Abfrage dataprocessor'!$E$51,'Stationen Abfrage dataprocessor'!$G$51)),"kein_beobachtetes_fenster","definiert"))))</x:f>
        <x:v>definiert</x:v>
      </x:c>
      <x:c r="H238" s="182" t="str">
        <x:v>ja</x:v>
      </x:c>
      <x:c r="I238" s="182" t="str">
        <x:v>ja</x:v>
      </x:c>
      <x:c r="J238" s="182" t="str">
        <x:f>'Stationen Abfrage dataprocessor'!$S$51</x:f>
        <x:v>fallbezogen prüfen</x:v>
      </x:c>
      <x:c r="K238" s="190" t="n">
        <x:f>IF(G238="definiert",F238-E238,"")</x:f>
        <x:v>102</x:v>
      </x:c>
      <x:c r="L238" s="182" t="n">
        <x:v>51</x:v>
      </x:c>
      <x:c r="M238" s="182" t="str">
        <x:f>IF('Stationen Abfrage dataprocessor'!$K$51="","",'Stationen Abfrage dataprocessor'!$K$51)</x:f>
      </x:c>
      <x:c r="N238" s="182" t="str">
        <x:f>Definitionen!$B$2</x:f>
        <x:v>IP-COHORT-2026-10-28-01</x:v>
      </x:c>
    </x:row>
    <x:row r="239" ht="30" customHeight="1">
      <x:c r="A239" s="182" t="str">
        <x:f>'Stationen Abfrage dataprocessor'!$A$51</x:f>
        <x:v>UK Heidelberg</x:v>
      </x:c>
      <x:c r="B239" s="182" t="str">
        <x:f>'Stationen Abfrage dataprocessor'!$D$51</x:f>
        <x:v>Ortho J3</x:v>
      </x:c>
      <x:c r="C239" s="182" t="str">
        <x:v>TRS</x:v>
      </x:c>
      <x:c r="D239" s="182" t="str">
        <x:f>'Stationen Abfrage dataprocessor'!$Q$51</x:f>
        <x:v>ja</x:v>
      </x:c>
      <x:c r="E239" s="189" t="n">
        <x:f>IF(G239="definiert",'Stationen Abfrage dataprocessor'!$E$51,"")</x:f>
        <x:v>45901</x:v>
      </x:c>
      <x:c r="F239" s="189" t="n">
        <x:f>IF(G239="definiert",'Stationen Abfrage dataprocessor'!$H$51+1,"")</x:f>
        <x:v>46266</x:v>
      </x:c>
      <x:c r="G239" s="182" t="str">
        <x:f>IF(D239="nein","nicht_anwendbar",IF(D239&lt;&gt;"ja","Konfiguration fehlt",IF(OR(NOT(ISNUMBER('Stationen Abfrage dataprocessor'!$E$51)),NOT(ISNUMBER('Stationen Abfrage dataprocessor'!$H$51))),"Konfiguration fehlt",IF(('Stationen Abfrage dataprocessor'!$H$51+1)&lt;=('Stationen Abfrage dataprocessor'!$E$51),"kein_beobachtetes_fenster","definiert"))))</x:f>
        <x:v>definiert</x:v>
      </x:c>
      <x:c r="H239" s="182" t="str">
        <x:v>ja</x:v>
      </x:c>
      <x:c r="I239" s="182" t="str">
        <x:v>nein</x:v>
      </x:c>
      <x:c r="J239" s="182" t="str">
        <x:f>"nicht Voraussetzung"</x:f>
        <x:v>nicht Voraussetzung</x:v>
      </x:c>
      <x:c r="K239" s="190" t="n">
        <x:f>IF(G239="definiert",F239-E239,"")</x:f>
        <x:v>365</x:v>
      </x:c>
      <x:c r="L239" s="182" t="n">
        <x:v>51</x:v>
      </x:c>
      <x:c r="M239" s="182" t="str">
        <x:f>IF('Stationen Abfrage dataprocessor'!$K$51="","",'Stationen Abfrage dataprocessor'!$K$51)</x:f>
      </x:c>
      <x:c r="N239" s="182" t="str">
        <x:f>Definitionen!$B$2</x:f>
        <x:v>IP-COHORT-2026-10-28-01</x:v>
      </x:c>
    </x:row>
    <x:row r="240" ht="30" customHeight="1">
      <x:c r="A240" s="182" t="str">
        <x:f>'Stationen Abfrage dataprocessor'!$A$52</x:f>
        <x:v>UK Jena</x:v>
      </x:c>
      <x:c r="B240" s="182" t="str">
        <x:f>'Stationen Abfrage dataprocessor'!$D$52</x:f>
        <x:v>B440</x:v>
      </x:c>
      <x:c r="C240" s="182" t="str">
        <x:v>BS</x:v>
      </x:c>
      <x:c r="D240" s="182" t="str">
        <x:f>'Stationen Abfrage dataprocessor'!$M$52</x:f>
        <x:v>ja</x:v>
      </x:c>
      <x:c r="E240" s="189" t="n">
        <x:f>IF(G240="definiert",'Stationen Abfrage dataprocessor'!$E$52,"")</x:f>
        <x:v>45778</x:v>
      </x:c>
      <x:c r="F240" s="189" t="n">
        <x:f>IF(G240="definiert",IF('Stationen Abfrage dataprocessor'!$T$52="Studienende",'Stationen Abfrage dataprocessor'!$H$52+1,MIN('Stationen Abfrage dataprocessor'!$F$52,'Stationen Abfrage dataprocessor'!$H$52+1)),"")</x:f>
        <x:v>46122</x:v>
      </x:c>
      <x:c r="G240" s="182" t="str">
        <x:f>IF(D240="nein","nicht_anwendbar",IF(D240&lt;&gt;"ja","Konfiguration fehlt",IF(OR(NOT(ISNUMBER('Stationen Abfrage dataprocessor'!$E$52)),NOT(ISNUMBER('Stationen Abfrage dataprocessor'!$H$52)),AND('Stationen Abfrage dataprocessor'!$T$52&lt;&gt;"Phasengrenze",'Stationen Abfrage dataprocessor'!$T$52&lt;&gt;"Studienende"),AND('Stationen Abfrage dataprocessor'!$T$52="Phasengrenze",NOT(ISNUMBER('Stationen Abfrage dataprocessor'!$F$52)))),"Konfiguration fehlt",IF((IF('Stationen Abfrage dataprocessor'!$T$52="Studienende",'Stationen Abfrage dataprocessor'!$H$52+1,MIN('Stationen Abfrage dataprocessor'!$F$52,'Stationen Abfrage dataprocessor'!$H$52+1)))&lt;=('Stationen Abfrage dataprocessor'!$E$52),"kein_beobachtetes_fenster","definiert"))))</x:f>
        <x:v>definiert</x:v>
      </x:c>
      <x:c r="H240" s="182" t="str">
        <x:v>nein</x:v>
      </x:c>
      <x:c r="I240" s="182" t="str">
        <x:v>nein</x:v>
      </x:c>
      <x:c r="J240" s="182" t="str">
        <x:f>"nicht Voraussetzung"</x:f>
        <x:v>nicht Voraussetzung</x:v>
      </x:c>
      <x:c r="K240" s="190" t="n">
        <x:f>IF(G240="definiert",F240-E240,"")</x:f>
        <x:v>344</x:v>
      </x:c>
      <x:c r="L240" s="182" t="n">
        <x:v>52</x:v>
      </x:c>
      <x:c r="M240" s="182" t="str">
        <x:f>IF('Stationen Abfrage dataprocessor'!$K$52="","",'Stationen Abfrage dataprocessor'!$K$52)</x:f>
      </x:c>
      <x:c r="N240" s="182" t="str">
        <x:f>Definitionen!$B$2</x:f>
        <x:v>IP-COHORT-2026-10-28-01</x:v>
      </x:c>
    </x:row>
    <x:row r="241" ht="30" customHeight="1">
      <x:c r="A241" s="182" t="str">
        <x:f>'Stationen Abfrage dataprocessor'!$A$52</x:f>
        <x:v>UK Jena</x:v>
      </x:c>
      <x:c r="B241" s="182" t="str">
        <x:f>'Stationen Abfrage dataprocessor'!$D$52</x:f>
        <x:v>B440</x:v>
      </x:c>
      <x:c r="C241" s="182" t="str">
        <x:v>CRS-A</x:v>
      </x:c>
      <x:c r="D241" s="182" t="str">
        <x:f>'Stationen Abfrage dataprocessor'!$N$52</x:f>
        <x:v>ja</x:v>
      </x:c>
      <x:c r="E241" s="189" t="n">
        <x:f>IF(G241="definiert",MAX('Stationen Abfrage dataprocessor'!$E$52,'Stationen Abfrage dataprocessor'!$F$52),"")</x:f>
        <x:v>46122</x:v>
      </x:c>
      <x:c r="F241" s="189" t="n">
        <x:f>IF(G241="definiert",MIN('Stationen Abfrage dataprocessor'!$G$52,'Stationen Abfrage dataprocessor'!$H$52+1),"")</x:f>
        <x:v>46150</x:v>
      </x:c>
      <x:c r="G241" s="182" t="str">
        <x:f>IF(D241="nein","nicht_anwendbar",IF(D241&lt;&gt;"ja","Konfiguration fehlt",IF(OR(NOT(ISNUMBER('Stationen Abfrage dataprocessor'!$E$52)),NOT(ISNUMBER('Stationen Abfrage dataprocessor'!$F$52)),NOT(ISNUMBER('Stationen Abfrage dataprocessor'!$G$52)),NOT(ISNUMBER('Stationen Abfrage dataprocessor'!$H$52))),"Konfiguration fehlt",IF((MIN('Stationen Abfrage dataprocessor'!$G$52,'Stationen Abfrage dataprocessor'!$H$52+1))&lt;=(MAX('Stationen Abfrage dataprocessor'!$E$52,'Stationen Abfrage dataprocessor'!$F$52)),"kein_beobachtetes_fenster","definiert"))))</x:f>
        <x:v>definiert</x:v>
      </x:c>
      <x:c r="H241" s="182" t="str">
        <x:v>nein</x:v>
      </x:c>
      <x:c r="I241" s="182" t="str">
        <x:v>nein</x:v>
      </x:c>
      <x:c r="J241" s="182" t="str">
        <x:f>"nicht Voraussetzung"</x:f>
        <x:v>nicht Voraussetzung</x:v>
      </x:c>
      <x:c r="K241" s="190" t="n">
        <x:f>IF(G241="definiert",F241-E241,"")</x:f>
        <x:v>28</x:v>
      </x:c>
      <x:c r="L241" s="182" t="n">
        <x:v>52</x:v>
      </x:c>
      <x:c r="M241" s="182" t="str">
        <x:f>IF('Stationen Abfrage dataprocessor'!$K$52="","",'Stationen Abfrage dataprocessor'!$K$52)</x:f>
      </x:c>
      <x:c r="N241" s="182" t="str">
        <x:f>Definitionen!$B$2</x:f>
        <x:v>IP-COHORT-2026-10-28-01</x:v>
      </x:c>
    </x:row>
    <x:row r="242" ht="30" customHeight="1">
      <x:c r="A242" s="182" t="str">
        <x:f>'Stationen Abfrage dataprocessor'!$A$52</x:f>
        <x:v>UK Jena</x:v>
      </x:c>
      <x:c r="B242" s="182" t="str">
        <x:f>'Stationen Abfrage dataprocessor'!$D$52</x:f>
        <x:v>B440</x:v>
      </x:c>
      <x:c r="C242" s="182" t="str">
        <x:v>CRS-B</x:v>
      </x:c>
      <x:c r="D242" s="182" t="str">
        <x:f>'Stationen Abfrage dataprocessor'!$O$52</x:f>
        <x:v>ja</x:v>
      </x:c>
      <x:c r="E242" s="189" t="n">
        <x:f>IF(G242="definiert",MAX('Stationen Abfrage dataprocessor'!$E$52,'Stationen Abfrage dataprocessor'!$G$52),"")</x:f>
        <x:v>46150</x:v>
      </x:c>
      <x:c r="F242" s="189" t="n">
        <x:f>IF(G242="definiert",'Stationen Abfrage dataprocessor'!$H$52+1,"")</x:f>
        <x:v>46266</x:v>
      </x:c>
      <x:c r="G242" s="182" t="str">
        <x:f>IF(D242="nein","nicht_anwendbar",IF(D242&lt;&gt;"ja","Konfiguration fehlt",IF(OR(NOT(ISNUMBER('Stationen Abfrage dataprocessor'!$E$52)),NOT(ISNUMBER('Stationen Abfrage dataprocessor'!$G$52)),NOT(ISNUMBER('Stationen Abfrage dataprocessor'!$H$52))),"Konfiguration fehlt",IF(('Stationen Abfrage dataprocessor'!$H$52+1)&lt;=(MAX('Stationen Abfrage dataprocessor'!$E$52,'Stationen Abfrage dataprocessor'!$G$52)),"kein_beobachtetes_fenster","definiert"))))</x:f>
        <x:v>definiert</x:v>
      </x:c>
      <x:c r="H242" s="182" t="str">
        <x:v>nein</x:v>
      </x:c>
      <x:c r="I242" s="182" t="str">
        <x:v>nein</x:v>
      </x:c>
      <x:c r="J242" s="182" t="str">
        <x:f>'Stationen Abfrage dataprocessor'!$S$52</x:f>
        <x:v>fallbezogen prüfen</x:v>
      </x:c>
      <x:c r="K242" s="190" t="n">
        <x:f>IF(G242="definiert",F242-E242,"")</x:f>
        <x:v>116</x:v>
      </x:c>
      <x:c r="L242" s="182" t="n">
        <x:v>52</x:v>
      </x:c>
      <x:c r="M242" s="182" t="str">
        <x:f>IF('Stationen Abfrage dataprocessor'!$K$52="","",'Stationen Abfrage dataprocessor'!$K$52)</x:f>
      </x:c>
      <x:c r="N242" s="182" t="str">
        <x:f>Definitionen!$B$2</x:f>
        <x:v>IP-COHORT-2026-10-28-01</x:v>
      </x:c>
    </x:row>
    <x:row r="243" ht="30" customHeight="1">
      <x:c r="A243" s="182" t="str">
        <x:f>'Stationen Abfrage dataprocessor'!$A$52</x:f>
        <x:v>UK Jena</x:v>
      </x:c>
      <x:c r="B243" s="182" t="str">
        <x:f>'Stationen Abfrage dataprocessor'!$D$52</x:f>
        <x:v>B440</x:v>
      </x:c>
      <x:c r="C243" s="182" t="str">
        <x:v>RES</x:v>
      </x:c>
      <x:c r="D243" s="182" t="str">
        <x:f>'Stationen Abfrage dataprocessor'!$P$52</x:f>
        <x:v>ja</x:v>
      </x:c>
      <x:c r="E243" s="189" t="n">
        <x:f>IF(G243="definiert",MAX('Stationen Abfrage dataprocessor'!$E$52,'Stationen Abfrage dataprocessor'!$G$52),"")</x:f>
        <x:v>46150</x:v>
      </x:c>
      <x:c r="F243" s="189" t="n">
        <x:f>IF(G243="definiert",'Stationen Abfrage dataprocessor'!$H$52+1,"")</x:f>
        <x:v>46266</x:v>
      </x:c>
      <x:c r="G243" s="182" t="str">
        <x:f>IF(D243="nein","nicht_anwendbar",IF(D243&lt;&gt;"ja","Konfiguration fehlt",IF(OR(NOT(ISNUMBER('Stationen Abfrage dataprocessor'!$E$52)),NOT(ISNUMBER('Stationen Abfrage dataprocessor'!$G$52)),NOT(ISNUMBER('Stationen Abfrage dataprocessor'!$H$52))),"Konfiguration fehlt",IF(('Stationen Abfrage dataprocessor'!$H$52+1)&lt;=(MAX('Stationen Abfrage dataprocessor'!$E$52,'Stationen Abfrage dataprocessor'!$G$52)),"kein_beobachtetes_fenster","definiert"))))</x:f>
        <x:v>definiert</x:v>
      </x:c>
      <x:c r="H243" s="182" t="str">
        <x:v>ja</x:v>
      </x:c>
      <x:c r="I243" s="182" t="str">
        <x:v>ja</x:v>
      </x:c>
      <x:c r="J243" s="182" t="str">
        <x:f>'Stationen Abfrage dataprocessor'!$S$52</x:f>
        <x:v>fallbezogen prüfen</x:v>
      </x:c>
      <x:c r="K243" s="190" t="n">
        <x:f>IF(G243="definiert",F243-E243,"")</x:f>
        <x:v>116</x:v>
      </x:c>
      <x:c r="L243" s="182" t="n">
        <x:v>52</x:v>
      </x:c>
      <x:c r="M243" s="182" t="str">
        <x:f>IF('Stationen Abfrage dataprocessor'!$K$52="","",'Stationen Abfrage dataprocessor'!$K$52)</x:f>
      </x:c>
      <x:c r="N243" s="182" t="str">
        <x:f>Definitionen!$B$2</x:f>
        <x:v>IP-COHORT-2026-10-28-01</x:v>
      </x:c>
    </x:row>
    <x:row r="244" ht="30" customHeight="1">
      <x:c r="A244" s="182" t="str">
        <x:f>'Stationen Abfrage dataprocessor'!$A$52</x:f>
        <x:v>UK Jena</x:v>
      </x:c>
      <x:c r="B244" s="182" t="str">
        <x:f>'Stationen Abfrage dataprocessor'!$D$52</x:f>
        <x:v>B440</x:v>
      </x:c>
      <x:c r="C244" s="182" t="str">
        <x:v>TRS</x:v>
      </x:c>
      <x:c r="D244" s="182" t="str">
        <x:f>'Stationen Abfrage dataprocessor'!$Q$52</x:f>
        <x:v>ja</x:v>
      </x:c>
      <x:c r="E244" s="189" t="n">
        <x:f>IF(G244="definiert",'Stationen Abfrage dataprocessor'!$E$52,"")</x:f>
        <x:v>45778</x:v>
      </x:c>
      <x:c r="F244" s="189" t="n">
        <x:f>IF(G244="definiert",'Stationen Abfrage dataprocessor'!$H$52+1,"")</x:f>
        <x:v>46266</x:v>
      </x:c>
      <x:c r="G244" s="182" t="str">
        <x:f>IF(D244="nein","nicht_anwendbar",IF(D244&lt;&gt;"ja","Konfiguration fehlt",IF(OR(NOT(ISNUMBER('Stationen Abfrage dataprocessor'!$E$52)),NOT(ISNUMBER('Stationen Abfrage dataprocessor'!$H$52))),"Konfiguration fehlt",IF(('Stationen Abfrage dataprocessor'!$H$52+1)&lt;=('Stationen Abfrage dataprocessor'!$E$52),"kein_beobachtetes_fenster","definiert"))))</x:f>
        <x:v>definiert</x:v>
      </x:c>
      <x:c r="H244" s="182" t="str">
        <x:v>ja</x:v>
      </x:c>
      <x:c r="I244" s="182" t="str">
        <x:v>nein</x:v>
      </x:c>
      <x:c r="J244" s="182" t="str">
        <x:f>"nicht Voraussetzung"</x:f>
        <x:v>nicht Voraussetzung</x:v>
      </x:c>
      <x:c r="K244" s="190" t="n">
        <x:f>IF(G244="definiert",F244-E244,"")</x:f>
        <x:v>488</x:v>
      </x:c>
      <x:c r="L244" s="182" t="n">
        <x:v>52</x:v>
      </x:c>
      <x:c r="M244" s="182" t="str">
        <x:f>IF('Stationen Abfrage dataprocessor'!$K$52="","",'Stationen Abfrage dataprocessor'!$K$52)</x:f>
      </x:c>
      <x:c r="N244" s="182" t="str">
        <x:f>Definitionen!$B$2</x:f>
        <x:v>IP-COHORT-2026-10-28-01</x:v>
      </x:c>
    </x:row>
    <x:row r="245" ht="30" customHeight="1">
      <x:c r="A245" s="182" t="str">
        <x:f>'Stationen Abfrage dataprocessor'!$A$53</x:f>
        <x:v>UK Jena</x:v>
      </x:c>
      <x:c r="B245" s="182" t="str">
        <x:f>'Stationen Abfrage dataprocessor'!$D$53</x:f>
        <x:v>B441</x:v>
      </x:c>
      <x:c r="C245" s="182" t="str">
        <x:v>BS</x:v>
      </x:c>
      <x:c r="D245" s="182" t="str">
        <x:f>'Stationen Abfrage dataprocessor'!$M$53</x:f>
        <x:v>ja</x:v>
      </x:c>
      <x:c r="E245" s="189" t="n">
        <x:f>IF(G245="definiert",'Stationen Abfrage dataprocessor'!$E$53,"")</x:f>
        <x:v>45778</x:v>
      </x:c>
      <x:c r="F245" s="189" t="n">
        <x:f>IF(G245="definiert",IF('Stationen Abfrage dataprocessor'!$T$53="Studienende",'Stationen Abfrage dataprocessor'!$H$53+1,MIN('Stationen Abfrage dataprocessor'!$F$53,'Stationen Abfrage dataprocessor'!$H$53+1)),"")</x:f>
        <x:v>46122</x:v>
      </x:c>
      <x:c r="G245" s="182" t="str">
        <x:f>IF(D245="nein","nicht_anwendbar",IF(D245&lt;&gt;"ja","Konfiguration fehlt",IF(OR(NOT(ISNUMBER('Stationen Abfrage dataprocessor'!$E$53)),NOT(ISNUMBER('Stationen Abfrage dataprocessor'!$H$53)),AND('Stationen Abfrage dataprocessor'!$T$53&lt;&gt;"Phasengrenze",'Stationen Abfrage dataprocessor'!$T$53&lt;&gt;"Studienende"),AND('Stationen Abfrage dataprocessor'!$T$53="Phasengrenze",NOT(ISNUMBER('Stationen Abfrage dataprocessor'!$F$53)))),"Konfiguration fehlt",IF((IF('Stationen Abfrage dataprocessor'!$T$53="Studienende",'Stationen Abfrage dataprocessor'!$H$53+1,MIN('Stationen Abfrage dataprocessor'!$F$53,'Stationen Abfrage dataprocessor'!$H$53+1)))&lt;=('Stationen Abfrage dataprocessor'!$E$53),"kein_beobachtetes_fenster","definiert"))))</x:f>
        <x:v>definiert</x:v>
      </x:c>
      <x:c r="H245" s="182" t="str">
        <x:v>nein</x:v>
      </x:c>
      <x:c r="I245" s="182" t="str">
        <x:v>nein</x:v>
      </x:c>
      <x:c r="J245" s="182" t="str">
        <x:f>"nicht Voraussetzung"</x:f>
        <x:v>nicht Voraussetzung</x:v>
      </x:c>
      <x:c r="K245" s="190" t="n">
        <x:f>IF(G245="definiert",F245-E245,"")</x:f>
        <x:v>344</x:v>
      </x:c>
      <x:c r="L245" s="182" t="n">
        <x:v>53</x:v>
      </x:c>
      <x:c r="M245" s="182" t="str">
        <x:f>IF('Stationen Abfrage dataprocessor'!$K$53="","",'Stationen Abfrage dataprocessor'!$K$53)</x:f>
      </x:c>
      <x:c r="N245" s="182" t="str">
        <x:f>Definitionen!$B$2</x:f>
        <x:v>IP-COHORT-2026-10-28-01</x:v>
      </x:c>
    </x:row>
    <x:row r="246" ht="30" customHeight="1">
      <x:c r="A246" s="182" t="str">
        <x:f>'Stationen Abfrage dataprocessor'!$A$53</x:f>
        <x:v>UK Jena</x:v>
      </x:c>
      <x:c r="B246" s="182" t="str">
        <x:f>'Stationen Abfrage dataprocessor'!$D$53</x:f>
        <x:v>B441</x:v>
      </x:c>
      <x:c r="C246" s="182" t="str">
        <x:v>CRS-A</x:v>
      </x:c>
      <x:c r="D246" s="182" t="str">
        <x:f>'Stationen Abfrage dataprocessor'!$N$53</x:f>
        <x:v>ja</x:v>
      </x:c>
      <x:c r="E246" s="189" t="n">
        <x:f>IF(G246="definiert",MAX('Stationen Abfrage dataprocessor'!$E$53,'Stationen Abfrage dataprocessor'!$F$53),"")</x:f>
        <x:v>46122</x:v>
      </x:c>
      <x:c r="F246" s="189" t="n">
        <x:f>IF(G246="definiert",MIN('Stationen Abfrage dataprocessor'!$G$53,'Stationen Abfrage dataprocessor'!$H$53+1),"")</x:f>
        <x:v>46150</x:v>
      </x:c>
      <x:c r="G246" s="182" t="str">
        <x:f>IF(D246="nein","nicht_anwendbar",IF(D246&lt;&gt;"ja","Konfiguration fehlt",IF(OR(NOT(ISNUMBER('Stationen Abfrage dataprocessor'!$E$53)),NOT(ISNUMBER('Stationen Abfrage dataprocessor'!$F$53)),NOT(ISNUMBER('Stationen Abfrage dataprocessor'!$G$53)),NOT(ISNUMBER('Stationen Abfrage dataprocessor'!$H$53))),"Konfiguration fehlt",IF((MIN('Stationen Abfrage dataprocessor'!$G$53,'Stationen Abfrage dataprocessor'!$H$53+1))&lt;=(MAX('Stationen Abfrage dataprocessor'!$E$53,'Stationen Abfrage dataprocessor'!$F$53)),"kein_beobachtetes_fenster","definiert"))))</x:f>
        <x:v>definiert</x:v>
      </x:c>
      <x:c r="H246" s="182" t="str">
        <x:v>nein</x:v>
      </x:c>
      <x:c r="I246" s="182" t="str">
        <x:v>nein</x:v>
      </x:c>
      <x:c r="J246" s="182" t="str">
        <x:f>"nicht Voraussetzung"</x:f>
        <x:v>nicht Voraussetzung</x:v>
      </x:c>
      <x:c r="K246" s="190" t="n">
        <x:f>IF(G246="definiert",F246-E246,"")</x:f>
        <x:v>28</x:v>
      </x:c>
      <x:c r="L246" s="182" t="n">
        <x:v>53</x:v>
      </x:c>
      <x:c r="M246" s="182" t="str">
        <x:f>IF('Stationen Abfrage dataprocessor'!$K$53="","",'Stationen Abfrage dataprocessor'!$K$53)</x:f>
      </x:c>
      <x:c r="N246" s="182" t="str">
        <x:f>Definitionen!$B$2</x:f>
        <x:v>IP-COHORT-2026-10-28-01</x:v>
      </x:c>
    </x:row>
    <x:row r="247" ht="30" customHeight="1">
      <x:c r="A247" s="182" t="str">
        <x:f>'Stationen Abfrage dataprocessor'!$A$53</x:f>
        <x:v>UK Jena</x:v>
      </x:c>
      <x:c r="B247" s="182" t="str">
        <x:f>'Stationen Abfrage dataprocessor'!$D$53</x:f>
        <x:v>B441</x:v>
      </x:c>
      <x:c r="C247" s="182" t="str">
        <x:v>CRS-B</x:v>
      </x:c>
      <x:c r="D247" s="182" t="str">
        <x:f>'Stationen Abfrage dataprocessor'!$O$53</x:f>
        <x:v>ja</x:v>
      </x:c>
      <x:c r="E247" s="189" t="n">
        <x:f>IF(G247="definiert",MAX('Stationen Abfrage dataprocessor'!$E$53,'Stationen Abfrage dataprocessor'!$G$53),"")</x:f>
        <x:v>46150</x:v>
      </x:c>
      <x:c r="F247" s="189" t="n">
        <x:f>IF(G247="definiert",'Stationen Abfrage dataprocessor'!$H$53+1,"")</x:f>
        <x:v>46266</x:v>
      </x:c>
      <x:c r="G247" s="182" t="str">
        <x:f>IF(D247="nein","nicht_anwendbar",IF(D247&lt;&gt;"ja","Konfiguration fehlt",IF(OR(NOT(ISNUMBER('Stationen Abfrage dataprocessor'!$E$53)),NOT(ISNUMBER('Stationen Abfrage dataprocessor'!$G$53)),NOT(ISNUMBER('Stationen Abfrage dataprocessor'!$H$53))),"Konfiguration fehlt",IF(('Stationen Abfrage dataprocessor'!$H$53+1)&lt;=(MAX('Stationen Abfrage dataprocessor'!$E$53,'Stationen Abfrage dataprocessor'!$G$53)),"kein_beobachtetes_fenster","definiert"))))</x:f>
        <x:v>definiert</x:v>
      </x:c>
      <x:c r="H247" s="182" t="str">
        <x:v>nein</x:v>
      </x:c>
      <x:c r="I247" s="182" t="str">
        <x:v>nein</x:v>
      </x:c>
      <x:c r="J247" s="182" t="str">
        <x:f>'Stationen Abfrage dataprocessor'!$S$53</x:f>
        <x:v>fallbezogen prüfen</x:v>
      </x:c>
      <x:c r="K247" s="190" t="n">
        <x:f>IF(G247="definiert",F247-E247,"")</x:f>
        <x:v>116</x:v>
      </x:c>
      <x:c r="L247" s="182" t="n">
        <x:v>53</x:v>
      </x:c>
      <x:c r="M247" s="182" t="str">
        <x:f>IF('Stationen Abfrage dataprocessor'!$K$53="","",'Stationen Abfrage dataprocessor'!$K$53)</x:f>
      </x:c>
      <x:c r="N247" s="182" t="str">
        <x:f>Definitionen!$B$2</x:f>
        <x:v>IP-COHORT-2026-10-28-01</x:v>
      </x:c>
    </x:row>
    <x:row r="248" ht="30" customHeight="1">
      <x:c r="A248" s="182" t="str">
        <x:f>'Stationen Abfrage dataprocessor'!$A$53</x:f>
        <x:v>UK Jena</x:v>
      </x:c>
      <x:c r="B248" s="182" t="str">
        <x:f>'Stationen Abfrage dataprocessor'!$D$53</x:f>
        <x:v>B441</x:v>
      </x:c>
      <x:c r="C248" s="182" t="str">
        <x:v>RES</x:v>
      </x:c>
      <x:c r="D248" s="182" t="str">
        <x:f>'Stationen Abfrage dataprocessor'!$P$53</x:f>
        <x:v>ja</x:v>
      </x:c>
      <x:c r="E248" s="189" t="n">
        <x:f>IF(G248="definiert",MAX('Stationen Abfrage dataprocessor'!$E$53,'Stationen Abfrage dataprocessor'!$G$53),"")</x:f>
        <x:v>46150</x:v>
      </x:c>
      <x:c r="F248" s="189" t="n">
        <x:f>IF(G248="definiert",'Stationen Abfrage dataprocessor'!$H$53+1,"")</x:f>
        <x:v>46266</x:v>
      </x:c>
      <x:c r="G248" s="182" t="str">
        <x:f>IF(D248="nein","nicht_anwendbar",IF(D248&lt;&gt;"ja","Konfiguration fehlt",IF(OR(NOT(ISNUMBER('Stationen Abfrage dataprocessor'!$E$53)),NOT(ISNUMBER('Stationen Abfrage dataprocessor'!$G$53)),NOT(ISNUMBER('Stationen Abfrage dataprocessor'!$H$53))),"Konfiguration fehlt",IF(('Stationen Abfrage dataprocessor'!$H$53+1)&lt;=(MAX('Stationen Abfrage dataprocessor'!$E$53,'Stationen Abfrage dataprocessor'!$G$53)),"kein_beobachtetes_fenster","definiert"))))</x:f>
        <x:v>definiert</x:v>
      </x:c>
      <x:c r="H248" s="182" t="str">
        <x:v>ja</x:v>
      </x:c>
      <x:c r="I248" s="182" t="str">
        <x:v>ja</x:v>
      </x:c>
      <x:c r="J248" s="182" t="str">
        <x:f>'Stationen Abfrage dataprocessor'!$S$53</x:f>
        <x:v>fallbezogen prüfen</x:v>
      </x:c>
      <x:c r="K248" s="190" t="n">
        <x:f>IF(G248="definiert",F248-E248,"")</x:f>
        <x:v>116</x:v>
      </x:c>
      <x:c r="L248" s="182" t="n">
        <x:v>53</x:v>
      </x:c>
      <x:c r="M248" s="182" t="str">
        <x:f>IF('Stationen Abfrage dataprocessor'!$K$53="","",'Stationen Abfrage dataprocessor'!$K$53)</x:f>
      </x:c>
      <x:c r="N248" s="182" t="str">
        <x:f>Definitionen!$B$2</x:f>
        <x:v>IP-COHORT-2026-10-28-01</x:v>
      </x:c>
    </x:row>
    <x:row r="249" ht="30" customHeight="1">
      <x:c r="A249" s="182" t="str">
        <x:f>'Stationen Abfrage dataprocessor'!$A$53</x:f>
        <x:v>UK Jena</x:v>
      </x:c>
      <x:c r="B249" s="182" t="str">
        <x:f>'Stationen Abfrage dataprocessor'!$D$53</x:f>
        <x:v>B441</x:v>
      </x:c>
      <x:c r="C249" s="182" t="str">
        <x:v>TRS</x:v>
      </x:c>
      <x:c r="D249" s="182" t="str">
        <x:f>'Stationen Abfrage dataprocessor'!$Q$53</x:f>
        <x:v>ja</x:v>
      </x:c>
      <x:c r="E249" s="189" t="n">
        <x:f>IF(G249="definiert",'Stationen Abfrage dataprocessor'!$E$53,"")</x:f>
        <x:v>45778</x:v>
      </x:c>
      <x:c r="F249" s="189" t="n">
        <x:f>IF(G249="definiert",'Stationen Abfrage dataprocessor'!$H$53+1,"")</x:f>
        <x:v>46266</x:v>
      </x:c>
      <x:c r="G249" s="182" t="str">
        <x:f>IF(D249="nein","nicht_anwendbar",IF(D249&lt;&gt;"ja","Konfiguration fehlt",IF(OR(NOT(ISNUMBER('Stationen Abfrage dataprocessor'!$E$53)),NOT(ISNUMBER('Stationen Abfrage dataprocessor'!$H$53))),"Konfiguration fehlt",IF(('Stationen Abfrage dataprocessor'!$H$53+1)&lt;=('Stationen Abfrage dataprocessor'!$E$53),"kein_beobachtetes_fenster","definiert"))))</x:f>
        <x:v>definiert</x:v>
      </x:c>
      <x:c r="H249" s="182" t="str">
        <x:v>ja</x:v>
      </x:c>
      <x:c r="I249" s="182" t="str">
        <x:v>nein</x:v>
      </x:c>
      <x:c r="J249" s="182" t="str">
        <x:f>"nicht Voraussetzung"</x:f>
        <x:v>nicht Voraussetzung</x:v>
      </x:c>
      <x:c r="K249" s="190" t="n">
        <x:f>IF(G249="definiert",F249-E249,"")</x:f>
        <x:v>488</x:v>
      </x:c>
      <x:c r="L249" s="182" t="n">
        <x:v>53</x:v>
      </x:c>
      <x:c r="M249" s="182" t="str">
        <x:f>IF('Stationen Abfrage dataprocessor'!$K$53="","",'Stationen Abfrage dataprocessor'!$K$53)</x:f>
      </x:c>
      <x:c r="N249" s="182" t="str">
        <x:f>Definitionen!$B$2</x:f>
        <x:v>IP-COHORT-2026-10-28-01</x:v>
      </x:c>
    </x:row>
    <x:row r="250" ht="30" customHeight="1">
      <x:c r="A250" s="182" t="str">
        <x:f>'Stationen Abfrage dataprocessor'!$A$54</x:f>
        <x:v>UK Jena</x:v>
      </x:c>
      <x:c r="B250" s="182" t="str">
        <x:f>'Stationen Abfrage dataprocessor'!$D$54</x:f>
        <x:v>A520</x:v>
      </x:c>
      <x:c r="C250" s="182" t="str">
        <x:v>BS</x:v>
      </x:c>
      <x:c r="D250" s="182" t="str">
        <x:f>'Stationen Abfrage dataprocessor'!$M$54</x:f>
        <x:v>ja</x:v>
      </x:c>
      <x:c r="E250" s="189" t="n">
        <x:f>IF(G250="definiert",'Stationen Abfrage dataprocessor'!$E$54,"")</x:f>
        <x:v>45778</x:v>
      </x:c>
      <x:c r="F250" s="189" t="n">
        <x:f>IF(G250="definiert",IF('Stationen Abfrage dataprocessor'!$T$54="Studienende",'Stationen Abfrage dataprocessor'!$H$54+1,MIN('Stationen Abfrage dataprocessor'!$F$54,'Stationen Abfrage dataprocessor'!$H$54+1)),"")</x:f>
        <x:v>46122</x:v>
      </x:c>
      <x:c r="G250" s="182" t="str">
        <x:f>IF(D250="nein","nicht_anwendbar",IF(D250&lt;&gt;"ja","Konfiguration fehlt",IF(OR(NOT(ISNUMBER('Stationen Abfrage dataprocessor'!$E$54)),NOT(ISNUMBER('Stationen Abfrage dataprocessor'!$H$54)),AND('Stationen Abfrage dataprocessor'!$T$54&lt;&gt;"Phasengrenze",'Stationen Abfrage dataprocessor'!$T$54&lt;&gt;"Studienende"),AND('Stationen Abfrage dataprocessor'!$T$54="Phasengrenze",NOT(ISNUMBER('Stationen Abfrage dataprocessor'!$F$54)))),"Konfiguration fehlt",IF((IF('Stationen Abfrage dataprocessor'!$T$54="Studienende",'Stationen Abfrage dataprocessor'!$H$54+1,MIN('Stationen Abfrage dataprocessor'!$F$54,'Stationen Abfrage dataprocessor'!$H$54+1)))&lt;=('Stationen Abfrage dataprocessor'!$E$54),"kein_beobachtetes_fenster","definiert"))))</x:f>
        <x:v>definiert</x:v>
      </x:c>
      <x:c r="H250" s="182" t="str">
        <x:v>nein</x:v>
      </x:c>
      <x:c r="I250" s="182" t="str">
        <x:v>nein</x:v>
      </x:c>
      <x:c r="J250" s="182" t="str">
        <x:f>"nicht Voraussetzung"</x:f>
        <x:v>nicht Voraussetzung</x:v>
      </x:c>
      <x:c r="K250" s="190" t="n">
        <x:f>IF(G250="definiert",F250-E250,"")</x:f>
        <x:v>344</x:v>
      </x:c>
      <x:c r="L250" s="182" t="n">
        <x:v>54</x:v>
      </x:c>
      <x:c r="M250" s="182" t="str">
        <x:f>IF('Stationen Abfrage dataprocessor'!$K$54="","",'Stationen Abfrage dataprocessor'!$K$54)</x:f>
      </x:c>
      <x:c r="N250" s="182" t="str">
        <x:f>Definitionen!$B$2</x:f>
        <x:v>IP-COHORT-2026-10-28-01</x:v>
      </x:c>
    </x:row>
    <x:row r="251" ht="30" customHeight="1">
      <x:c r="A251" s="182" t="str">
        <x:f>'Stationen Abfrage dataprocessor'!$A$54</x:f>
        <x:v>UK Jena</x:v>
      </x:c>
      <x:c r="B251" s="182" t="str">
        <x:f>'Stationen Abfrage dataprocessor'!$D$54</x:f>
        <x:v>A520</x:v>
      </x:c>
      <x:c r="C251" s="182" t="str">
        <x:v>CRS-A</x:v>
      </x:c>
      <x:c r="D251" s="182" t="str">
        <x:f>'Stationen Abfrage dataprocessor'!$N$54</x:f>
        <x:v>ja</x:v>
      </x:c>
      <x:c r="E251" s="189" t="n">
        <x:f>IF(G251="definiert",MAX('Stationen Abfrage dataprocessor'!$E$54,'Stationen Abfrage dataprocessor'!$F$54),"")</x:f>
        <x:v>46122</x:v>
      </x:c>
      <x:c r="F251" s="189" t="n">
        <x:f>IF(G251="definiert",MIN('Stationen Abfrage dataprocessor'!$G$54,'Stationen Abfrage dataprocessor'!$H$54+1),"")</x:f>
        <x:v>46178</x:v>
      </x:c>
      <x:c r="G251" s="182" t="str">
        <x:f>IF(D251="nein","nicht_anwendbar",IF(D251&lt;&gt;"ja","Konfiguration fehlt",IF(OR(NOT(ISNUMBER('Stationen Abfrage dataprocessor'!$E$54)),NOT(ISNUMBER('Stationen Abfrage dataprocessor'!$F$54)),NOT(ISNUMBER('Stationen Abfrage dataprocessor'!$G$54)),NOT(ISNUMBER('Stationen Abfrage dataprocessor'!$H$54))),"Konfiguration fehlt",IF((MIN('Stationen Abfrage dataprocessor'!$G$54,'Stationen Abfrage dataprocessor'!$H$54+1))&lt;=(MAX('Stationen Abfrage dataprocessor'!$E$54,'Stationen Abfrage dataprocessor'!$F$54)),"kein_beobachtetes_fenster","definiert"))))</x:f>
        <x:v>definiert</x:v>
      </x:c>
      <x:c r="H251" s="182" t="str">
        <x:v>nein</x:v>
      </x:c>
      <x:c r="I251" s="182" t="str">
        <x:v>nein</x:v>
      </x:c>
      <x:c r="J251" s="182" t="str">
        <x:f>"nicht Voraussetzung"</x:f>
        <x:v>nicht Voraussetzung</x:v>
      </x:c>
      <x:c r="K251" s="190" t="n">
        <x:f>IF(G251="definiert",F251-E251,"")</x:f>
        <x:v>56</x:v>
      </x:c>
      <x:c r="L251" s="182" t="n">
        <x:v>54</x:v>
      </x:c>
      <x:c r="M251" s="182" t="str">
        <x:f>IF('Stationen Abfrage dataprocessor'!$K$54="","",'Stationen Abfrage dataprocessor'!$K$54)</x:f>
      </x:c>
      <x:c r="N251" s="182" t="str">
        <x:f>Definitionen!$B$2</x:f>
        <x:v>IP-COHORT-2026-10-28-01</x:v>
      </x:c>
    </x:row>
    <x:row r="252" ht="30" customHeight="1">
      <x:c r="A252" s="182" t="str">
        <x:f>'Stationen Abfrage dataprocessor'!$A$54</x:f>
        <x:v>UK Jena</x:v>
      </x:c>
      <x:c r="B252" s="182" t="str">
        <x:f>'Stationen Abfrage dataprocessor'!$D$54</x:f>
        <x:v>A520</x:v>
      </x:c>
      <x:c r="C252" s="182" t="str">
        <x:v>CRS-B</x:v>
      </x:c>
      <x:c r="D252" s="182" t="str">
        <x:f>'Stationen Abfrage dataprocessor'!$O$54</x:f>
        <x:v>ja</x:v>
      </x:c>
      <x:c r="E252" s="189" t="n">
        <x:f>IF(G252="definiert",MAX('Stationen Abfrage dataprocessor'!$E$54,'Stationen Abfrage dataprocessor'!$G$54),"")</x:f>
        <x:v>46178</x:v>
      </x:c>
      <x:c r="F252" s="189" t="n">
        <x:f>IF(G252="definiert",'Stationen Abfrage dataprocessor'!$H$54+1,"")</x:f>
        <x:v>46266</x:v>
      </x:c>
      <x:c r="G252" s="182" t="str">
        <x:f>IF(D252="nein","nicht_anwendbar",IF(D252&lt;&gt;"ja","Konfiguration fehlt",IF(OR(NOT(ISNUMBER('Stationen Abfrage dataprocessor'!$E$54)),NOT(ISNUMBER('Stationen Abfrage dataprocessor'!$G$54)),NOT(ISNUMBER('Stationen Abfrage dataprocessor'!$H$54))),"Konfiguration fehlt",IF(('Stationen Abfrage dataprocessor'!$H$54+1)&lt;=(MAX('Stationen Abfrage dataprocessor'!$E$54,'Stationen Abfrage dataprocessor'!$G$54)),"kein_beobachtetes_fenster","definiert"))))</x:f>
        <x:v>definiert</x:v>
      </x:c>
      <x:c r="H252" s="182" t="str">
        <x:v>nein</x:v>
      </x:c>
      <x:c r="I252" s="182" t="str">
        <x:v>nein</x:v>
      </x:c>
      <x:c r="J252" s="182" t="str">
        <x:f>'Stationen Abfrage dataprocessor'!$S$54</x:f>
        <x:v>fallbezogen prüfen</x:v>
      </x:c>
      <x:c r="K252" s="190" t="n">
        <x:f>IF(G252="definiert",F252-E252,"")</x:f>
        <x:v>88</x:v>
      </x:c>
      <x:c r="L252" s="182" t="n">
        <x:v>54</x:v>
      </x:c>
      <x:c r="M252" s="182" t="str">
        <x:f>IF('Stationen Abfrage dataprocessor'!$K$54="","",'Stationen Abfrage dataprocessor'!$K$54)</x:f>
      </x:c>
      <x:c r="N252" s="182" t="str">
        <x:f>Definitionen!$B$2</x:f>
        <x:v>IP-COHORT-2026-10-28-01</x:v>
      </x:c>
    </x:row>
    <x:row r="253" ht="30" customHeight="1">
      <x:c r="A253" s="182" t="str">
        <x:f>'Stationen Abfrage dataprocessor'!$A$54</x:f>
        <x:v>UK Jena</x:v>
      </x:c>
      <x:c r="B253" s="182" t="str">
        <x:f>'Stationen Abfrage dataprocessor'!$D$54</x:f>
        <x:v>A520</x:v>
      </x:c>
      <x:c r="C253" s="182" t="str">
        <x:v>RES</x:v>
      </x:c>
      <x:c r="D253" s="182" t="str">
        <x:f>'Stationen Abfrage dataprocessor'!$P$54</x:f>
        <x:v>ja</x:v>
      </x:c>
      <x:c r="E253" s="189" t="n">
        <x:f>IF(G253="definiert",MAX('Stationen Abfrage dataprocessor'!$E$54,'Stationen Abfrage dataprocessor'!$G$54),"")</x:f>
        <x:v>46178</x:v>
      </x:c>
      <x:c r="F253" s="189" t="n">
        <x:f>IF(G253="definiert",'Stationen Abfrage dataprocessor'!$H$54+1,"")</x:f>
        <x:v>46266</x:v>
      </x:c>
      <x:c r="G253" s="182" t="str">
        <x:f>IF(D253="nein","nicht_anwendbar",IF(D253&lt;&gt;"ja","Konfiguration fehlt",IF(OR(NOT(ISNUMBER('Stationen Abfrage dataprocessor'!$E$54)),NOT(ISNUMBER('Stationen Abfrage dataprocessor'!$G$54)),NOT(ISNUMBER('Stationen Abfrage dataprocessor'!$H$54))),"Konfiguration fehlt",IF(('Stationen Abfrage dataprocessor'!$H$54+1)&lt;=(MAX('Stationen Abfrage dataprocessor'!$E$54,'Stationen Abfrage dataprocessor'!$G$54)),"kein_beobachtetes_fenster","definiert"))))</x:f>
        <x:v>definiert</x:v>
      </x:c>
      <x:c r="H253" s="182" t="str">
        <x:v>ja</x:v>
      </x:c>
      <x:c r="I253" s="182" t="str">
        <x:v>ja</x:v>
      </x:c>
      <x:c r="J253" s="182" t="str">
        <x:f>'Stationen Abfrage dataprocessor'!$S$54</x:f>
        <x:v>fallbezogen prüfen</x:v>
      </x:c>
      <x:c r="K253" s="190" t="n">
        <x:f>IF(G253="definiert",F253-E253,"")</x:f>
        <x:v>88</x:v>
      </x:c>
      <x:c r="L253" s="182" t="n">
        <x:v>54</x:v>
      </x:c>
      <x:c r="M253" s="182" t="str">
        <x:f>IF('Stationen Abfrage dataprocessor'!$K$54="","",'Stationen Abfrage dataprocessor'!$K$54)</x:f>
      </x:c>
      <x:c r="N253" s="182" t="str">
        <x:f>Definitionen!$B$2</x:f>
        <x:v>IP-COHORT-2026-10-28-01</x:v>
      </x:c>
    </x:row>
    <x:row r="254" ht="30" customHeight="1">
      <x:c r="A254" s="182" t="str">
        <x:f>'Stationen Abfrage dataprocessor'!$A$54</x:f>
        <x:v>UK Jena</x:v>
      </x:c>
      <x:c r="B254" s="182" t="str">
        <x:f>'Stationen Abfrage dataprocessor'!$D$54</x:f>
        <x:v>A520</x:v>
      </x:c>
      <x:c r="C254" s="182" t="str">
        <x:v>TRS</x:v>
      </x:c>
      <x:c r="D254" s="182" t="str">
        <x:f>'Stationen Abfrage dataprocessor'!$Q$54</x:f>
        <x:v>ja</x:v>
      </x:c>
      <x:c r="E254" s="189" t="n">
        <x:f>IF(G254="definiert",'Stationen Abfrage dataprocessor'!$E$54,"")</x:f>
        <x:v>45778</x:v>
      </x:c>
      <x:c r="F254" s="189" t="n">
        <x:f>IF(G254="definiert",'Stationen Abfrage dataprocessor'!$H$54+1,"")</x:f>
        <x:v>46266</x:v>
      </x:c>
      <x:c r="G254" s="182" t="str">
        <x:f>IF(D254="nein","nicht_anwendbar",IF(D254&lt;&gt;"ja","Konfiguration fehlt",IF(OR(NOT(ISNUMBER('Stationen Abfrage dataprocessor'!$E$54)),NOT(ISNUMBER('Stationen Abfrage dataprocessor'!$H$54))),"Konfiguration fehlt",IF(('Stationen Abfrage dataprocessor'!$H$54+1)&lt;=('Stationen Abfrage dataprocessor'!$E$54),"kein_beobachtetes_fenster","definiert"))))</x:f>
        <x:v>definiert</x:v>
      </x:c>
      <x:c r="H254" s="182" t="str">
        <x:v>ja</x:v>
      </x:c>
      <x:c r="I254" s="182" t="str">
        <x:v>nein</x:v>
      </x:c>
      <x:c r="J254" s="182" t="str">
        <x:f>"nicht Voraussetzung"</x:f>
        <x:v>nicht Voraussetzung</x:v>
      </x:c>
      <x:c r="K254" s="190" t="n">
        <x:f>IF(G254="definiert",F254-E254,"")</x:f>
        <x:v>488</x:v>
      </x:c>
      <x:c r="L254" s="182" t="n">
        <x:v>54</x:v>
      </x:c>
      <x:c r="M254" s="182" t="str">
        <x:f>IF('Stationen Abfrage dataprocessor'!$K$54="","",'Stationen Abfrage dataprocessor'!$K$54)</x:f>
      </x:c>
      <x:c r="N254" s="182" t="str">
        <x:f>Definitionen!$B$2</x:f>
        <x:v>IP-COHORT-2026-10-28-01</x:v>
      </x:c>
    </x:row>
    <x:row r="255" ht="30" customHeight="1">
      <x:c r="A255" s="182" t="str">
        <x:f>'Stationen Abfrage dataprocessor'!$A$55</x:f>
        <x:v>UK Jena</x:v>
      </x:c>
      <x:c r="B255" s="182" t="str">
        <x:f>'Stationen Abfrage dataprocessor'!$D$55</x:f>
        <x:v>B320</x:v>
      </x:c>
      <x:c r="C255" s="182" t="str">
        <x:v>BS</x:v>
      </x:c>
      <x:c r="D255" s="182" t="str">
        <x:f>'Stationen Abfrage dataprocessor'!$M$55</x:f>
        <x:v>ja</x:v>
      </x:c>
      <x:c r="E255" s="189" t="n">
        <x:f>IF(G255="definiert",'Stationen Abfrage dataprocessor'!$E$55,"")</x:f>
        <x:v>45778</x:v>
      </x:c>
      <x:c r="F255" s="189" t="n">
        <x:f>IF(G255="definiert",IF('Stationen Abfrage dataprocessor'!$T$55="Studienende",'Stationen Abfrage dataprocessor'!$H$55+1,MIN('Stationen Abfrage dataprocessor'!$F$55,'Stationen Abfrage dataprocessor'!$H$55+1)),"")</x:f>
        <x:v>46122</x:v>
      </x:c>
      <x:c r="G255" s="182" t="str">
        <x:f>IF(D255="nein","nicht_anwendbar",IF(D255&lt;&gt;"ja","Konfiguration fehlt",IF(OR(NOT(ISNUMBER('Stationen Abfrage dataprocessor'!$E$55)),NOT(ISNUMBER('Stationen Abfrage dataprocessor'!$H$55)),AND('Stationen Abfrage dataprocessor'!$T$55&lt;&gt;"Phasengrenze",'Stationen Abfrage dataprocessor'!$T$55&lt;&gt;"Studienende"),AND('Stationen Abfrage dataprocessor'!$T$55="Phasengrenze",NOT(ISNUMBER('Stationen Abfrage dataprocessor'!$F$55)))),"Konfiguration fehlt",IF((IF('Stationen Abfrage dataprocessor'!$T$55="Studienende",'Stationen Abfrage dataprocessor'!$H$55+1,MIN('Stationen Abfrage dataprocessor'!$F$55,'Stationen Abfrage dataprocessor'!$H$55+1)))&lt;=('Stationen Abfrage dataprocessor'!$E$55),"kein_beobachtetes_fenster","definiert"))))</x:f>
        <x:v>definiert</x:v>
      </x:c>
      <x:c r="H255" s="182" t="str">
        <x:v>nein</x:v>
      </x:c>
      <x:c r="I255" s="182" t="str">
        <x:v>nein</x:v>
      </x:c>
      <x:c r="J255" s="182" t="str">
        <x:f>"nicht Voraussetzung"</x:f>
        <x:v>nicht Voraussetzung</x:v>
      </x:c>
      <x:c r="K255" s="190" t="n">
        <x:f>IF(G255="definiert",F255-E255,"")</x:f>
        <x:v>344</x:v>
      </x:c>
      <x:c r="L255" s="182" t="n">
        <x:v>55</x:v>
      </x:c>
      <x:c r="M255" s="182" t="str">
        <x:f>IF('Stationen Abfrage dataprocessor'!$K$55="","",'Stationen Abfrage dataprocessor'!$K$55)</x:f>
      </x:c>
      <x:c r="N255" s="182" t="str">
        <x:f>Definitionen!$B$2</x:f>
        <x:v>IP-COHORT-2026-10-28-01</x:v>
      </x:c>
    </x:row>
    <x:row r="256" ht="30" customHeight="1">
      <x:c r="A256" s="182" t="str">
        <x:f>'Stationen Abfrage dataprocessor'!$A$55</x:f>
        <x:v>UK Jena</x:v>
      </x:c>
      <x:c r="B256" s="182" t="str">
        <x:f>'Stationen Abfrage dataprocessor'!$D$55</x:f>
        <x:v>B320</x:v>
      </x:c>
      <x:c r="C256" s="182" t="str">
        <x:v>CRS-A</x:v>
      </x:c>
      <x:c r="D256" s="182" t="str">
        <x:f>'Stationen Abfrage dataprocessor'!$N$55</x:f>
        <x:v>ja</x:v>
      </x:c>
      <x:c r="E256" s="189" t="n">
        <x:f>IF(G256="definiert",MAX('Stationen Abfrage dataprocessor'!$E$55,'Stationen Abfrage dataprocessor'!$F$55),"")</x:f>
        <x:v>46122</x:v>
      </x:c>
      <x:c r="F256" s="189" t="n">
        <x:f>IF(G256="definiert",MIN('Stationen Abfrage dataprocessor'!$G$55,'Stationen Abfrage dataprocessor'!$H$55+1),"")</x:f>
        <x:v>46178</x:v>
      </x:c>
      <x:c r="G256" s="182" t="str">
        <x:f>IF(D256="nein","nicht_anwendbar",IF(D256&lt;&gt;"ja","Konfiguration fehlt",IF(OR(NOT(ISNUMBER('Stationen Abfrage dataprocessor'!$E$55)),NOT(ISNUMBER('Stationen Abfrage dataprocessor'!$F$55)),NOT(ISNUMBER('Stationen Abfrage dataprocessor'!$G$55)),NOT(ISNUMBER('Stationen Abfrage dataprocessor'!$H$55))),"Konfiguration fehlt",IF((MIN('Stationen Abfrage dataprocessor'!$G$55,'Stationen Abfrage dataprocessor'!$H$55+1))&lt;=(MAX('Stationen Abfrage dataprocessor'!$E$55,'Stationen Abfrage dataprocessor'!$F$55)),"kein_beobachtetes_fenster","definiert"))))</x:f>
        <x:v>definiert</x:v>
      </x:c>
      <x:c r="H256" s="182" t="str">
        <x:v>nein</x:v>
      </x:c>
      <x:c r="I256" s="182" t="str">
        <x:v>nein</x:v>
      </x:c>
      <x:c r="J256" s="182" t="str">
        <x:f>"nicht Voraussetzung"</x:f>
        <x:v>nicht Voraussetzung</x:v>
      </x:c>
      <x:c r="K256" s="190" t="n">
        <x:f>IF(G256="definiert",F256-E256,"")</x:f>
        <x:v>56</x:v>
      </x:c>
      <x:c r="L256" s="182" t="n">
        <x:v>55</x:v>
      </x:c>
      <x:c r="M256" s="182" t="str">
        <x:f>IF('Stationen Abfrage dataprocessor'!$K$55="","",'Stationen Abfrage dataprocessor'!$K$55)</x:f>
      </x:c>
      <x:c r="N256" s="182" t="str">
        <x:f>Definitionen!$B$2</x:f>
        <x:v>IP-COHORT-2026-10-28-01</x:v>
      </x:c>
    </x:row>
    <x:row r="257" ht="30" customHeight="1">
      <x:c r="A257" s="182" t="str">
        <x:f>'Stationen Abfrage dataprocessor'!$A$55</x:f>
        <x:v>UK Jena</x:v>
      </x:c>
      <x:c r="B257" s="182" t="str">
        <x:f>'Stationen Abfrage dataprocessor'!$D$55</x:f>
        <x:v>B320</x:v>
      </x:c>
      <x:c r="C257" s="182" t="str">
        <x:v>CRS-B</x:v>
      </x:c>
      <x:c r="D257" s="182" t="str">
        <x:f>'Stationen Abfrage dataprocessor'!$O$55</x:f>
        <x:v>ja</x:v>
      </x:c>
      <x:c r="E257" s="189" t="n">
        <x:f>IF(G257="definiert",MAX('Stationen Abfrage dataprocessor'!$E$55,'Stationen Abfrage dataprocessor'!$G$55),"")</x:f>
        <x:v>46178</x:v>
      </x:c>
      <x:c r="F257" s="189" t="n">
        <x:f>IF(G257="definiert",'Stationen Abfrage dataprocessor'!$H$55+1,"")</x:f>
        <x:v>46266</x:v>
      </x:c>
      <x:c r="G257" s="182" t="str">
        <x:f>IF(D257="nein","nicht_anwendbar",IF(D257&lt;&gt;"ja","Konfiguration fehlt",IF(OR(NOT(ISNUMBER('Stationen Abfrage dataprocessor'!$E$55)),NOT(ISNUMBER('Stationen Abfrage dataprocessor'!$G$55)),NOT(ISNUMBER('Stationen Abfrage dataprocessor'!$H$55))),"Konfiguration fehlt",IF(('Stationen Abfrage dataprocessor'!$H$55+1)&lt;=(MAX('Stationen Abfrage dataprocessor'!$E$55,'Stationen Abfrage dataprocessor'!$G$55)),"kein_beobachtetes_fenster","definiert"))))</x:f>
        <x:v>definiert</x:v>
      </x:c>
      <x:c r="H257" s="182" t="str">
        <x:v>nein</x:v>
      </x:c>
      <x:c r="I257" s="182" t="str">
        <x:v>nein</x:v>
      </x:c>
      <x:c r="J257" s="182" t="str">
        <x:f>'Stationen Abfrage dataprocessor'!$S$55</x:f>
        <x:v>fallbezogen prüfen</x:v>
      </x:c>
      <x:c r="K257" s="190" t="n">
        <x:f>IF(G257="definiert",F257-E257,"")</x:f>
        <x:v>88</x:v>
      </x:c>
      <x:c r="L257" s="182" t="n">
        <x:v>55</x:v>
      </x:c>
      <x:c r="M257" s="182" t="str">
        <x:f>IF('Stationen Abfrage dataprocessor'!$K$55="","",'Stationen Abfrage dataprocessor'!$K$55)</x:f>
      </x:c>
      <x:c r="N257" s="182" t="str">
        <x:f>Definitionen!$B$2</x:f>
        <x:v>IP-COHORT-2026-10-28-01</x:v>
      </x:c>
    </x:row>
    <x:row r="258" ht="30" customHeight="1">
      <x:c r="A258" s="182" t="str">
        <x:f>'Stationen Abfrage dataprocessor'!$A$55</x:f>
        <x:v>UK Jena</x:v>
      </x:c>
      <x:c r="B258" s="182" t="str">
        <x:f>'Stationen Abfrage dataprocessor'!$D$55</x:f>
        <x:v>B320</x:v>
      </x:c>
      <x:c r="C258" s="182" t="str">
        <x:v>RES</x:v>
      </x:c>
      <x:c r="D258" s="182" t="str">
        <x:f>'Stationen Abfrage dataprocessor'!$P$55</x:f>
        <x:v>ja</x:v>
      </x:c>
      <x:c r="E258" s="189" t="n">
        <x:f>IF(G258="definiert",MAX('Stationen Abfrage dataprocessor'!$E$55,'Stationen Abfrage dataprocessor'!$G$55),"")</x:f>
        <x:v>46178</x:v>
      </x:c>
      <x:c r="F258" s="189" t="n">
        <x:f>IF(G258="definiert",'Stationen Abfrage dataprocessor'!$H$55+1,"")</x:f>
        <x:v>46266</x:v>
      </x:c>
      <x:c r="G258" s="182" t="str">
        <x:f>IF(D258="nein","nicht_anwendbar",IF(D258&lt;&gt;"ja","Konfiguration fehlt",IF(OR(NOT(ISNUMBER('Stationen Abfrage dataprocessor'!$E$55)),NOT(ISNUMBER('Stationen Abfrage dataprocessor'!$G$55)),NOT(ISNUMBER('Stationen Abfrage dataprocessor'!$H$55))),"Konfiguration fehlt",IF(('Stationen Abfrage dataprocessor'!$H$55+1)&lt;=(MAX('Stationen Abfrage dataprocessor'!$E$55,'Stationen Abfrage dataprocessor'!$G$55)),"kein_beobachtetes_fenster","definiert"))))</x:f>
        <x:v>definiert</x:v>
      </x:c>
      <x:c r="H258" s="182" t="str">
        <x:v>ja</x:v>
      </x:c>
      <x:c r="I258" s="182" t="str">
        <x:v>ja</x:v>
      </x:c>
      <x:c r="J258" s="182" t="str">
        <x:f>'Stationen Abfrage dataprocessor'!$S$55</x:f>
        <x:v>fallbezogen prüfen</x:v>
      </x:c>
      <x:c r="K258" s="190" t="n">
        <x:f>IF(G258="definiert",F258-E258,"")</x:f>
        <x:v>88</x:v>
      </x:c>
      <x:c r="L258" s="182" t="n">
        <x:v>55</x:v>
      </x:c>
      <x:c r="M258" s="182" t="str">
        <x:f>IF('Stationen Abfrage dataprocessor'!$K$55="","",'Stationen Abfrage dataprocessor'!$K$55)</x:f>
      </x:c>
      <x:c r="N258" s="182" t="str">
        <x:f>Definitionen!$B$2</x:f>
        <x:v>IP-COHORT-2026-10-28-01</x:v>
      </x:c>
    </x:row>
    <x:row r="259" ht="30" customHeight="1">
      <x:c r="A259" s="182" t="str">
        <x:f>'Stationen Abfrage dataprocessor'!$A$55</x:f>
        <x:v>UK Jena</x:v>
      </x:c>
      <x:c r="B259" s="182" t="str">
        <x:f>'Stationen Abfrage dataprocessor'!$D$55</x:f>
        <x:v>B320</x:v>
      </x:c>
      <x:c r="C259" s="182" t="str">
        <x:v>TRS</x:v>
      </x:c>
      <x:c r="D259" s="182" t="str">
        <x:f>'Stationen Abfrage dataprocessor'!$Q$55</x:f>
        <x:v>ja</x:v>
      </x:c>
      <x:c r="E259" s="189" t="n">
        <x:f>IF(G259="definiert",'Stationen Abfrage dataprocessor'!$E$55,"")</x:f>
        <x:v>45778</x:v>
      </x:c>
      <x:c r="F259" s="189" t="n">
        <x:f>IF(G259="definiert",'Stationen Abfrage dataprocessor'!$H$55+1,"")</x:f>
        <x:v>46266</x:v>
      </x:c>
      <x:c r="G259" s="182" t="str">
        <x:f>IF(D259="nein","nicht_anwendbar",IF(D259&lt;&gt;"ja","Konfiguration fehlt",IF(OR(NOT(ISNUMBER('Stationen Abfrage dataprocessor'!$E$55)),NOT(ISNUMBER('Stationen Abfrage dataprocessor'!$H$55))),"Konfiguration fehlt",IF(('Stationen Abfrage dataprocessor'!$H$55+1)&lt;=('Stationen Abfrage dataprocessor'!$E$55),"kein_beobachtetes_fenster","definiert"))))</x:f>
        <x:v>definiert</x:v>
      </x:c>
      <x:c r="H259" s="182" t="str">
        <x:v>ja</x:v>
      </x:c>
      <x:c r="I259" s="182" t="str">
        <x:v>nein</x:v>
      </x:c>
      <x:c r="J259" s="182" t="str">
        <x:f>"nicht Voraussetzung"</x:f>
        <x:v>nicht Voraussetzung</x:v>
      </x:c>
      <x:c r="K259" s="190" t="n">
        <x:f>IF(G259="definiert",F259-E259,"")</x:f>
        <x:v>488</x:v>
      </x:c>
      <x:c r="L259" s="182" t="n">
        <x:v>55</x:v>
      </x:c>
      <x:c r="M259" s="182" t="str">
        <x:f>IF('Stationen Abfrage dataprocessor'!$K$55="","",'Stationen Abfrage dataprocessor'!$K$55)</x:f>
      </x:c>
      <x:c r="N259" s="182" t="str">
        <x:f>Definitionen!$B$2</x:f>
        <x:v>IP-COHORT-2026-10-28-01</x:v>
      </x:c>
    </x:row>
    <x:row r="260" ht="30" customHeight="1">
      <x:c r="A260" s="182" t="str">
        <x:f>'Stationen Abfrage dataprocessor'!$A$56</x:f>
        <x:v>UK Jena</x:v>
      </x:c>
      <x:c r="B260" s="182" t="str">
        <x:f>'Stationen Abfrage dataprocessor'!$D$56</x:f>
        <x:v>B430</x:v>
      </x:c>
      <x:c r="C260" s="182" t="str">
        <x:v>BS</x:v>
      </x:c>
      <x:c r="D260" s="182" t="str">
        <x:f>'Stationen Abfrage dataprocessor'!$M$56</x:f>
        <x:v>ja</x:v>
      </x:c>
      <x:c r="E260" s="189" t="n">
        <x:f>IF(G260="definiert",'Stationen Abfrage dataprocessor'!$E$56,"")</x:f>
        <x:v>45778</x:v>
      </x:c>
      <x:c r="F260" s="189" t="n">
        <x:f>IF(G260="definiert",IF('Stationen Abfrage dataprocessor'!$T$56="Studienende",'Stationen Abfrage dataprocessor'!$H$56+1,MIN('Stationen Abfrage dataprocessor'!$F$56,'Stationen Abfrage dataprocessor'!$H$56+1)),"")</x:f>
        <x:v>46122</x:v>
      </x:c>
      <x:c r="G260" s="182" t="str">
        <x:f>IF(D260="nein","nicht_anwendbar",IF(D260&lt;&gt;"ja","Konfiguration fehlt",IF(OR(NOT(ISNUMBER('Stationen Abfrage dataprocessor'!$E$56)),NOT(ISNUMBER('Stationen Abfrage dataprocessor'!$H$56)),AND('Stationen Abfrage dataprocessor'!$T$56&lt;&gt;"Phasengrenze",'Stationen Abfrage dataprocessor'!$T$56&lt;&gt;"Studienende"),AND('Stationen Abfrage dataprocessor'!$T$56="Phasengrenze",NOT(ISNUMBER('Stationen Abfrage dataprocessor'!$F$56)))),"Konfiguration fehlt",IF((IF('Stationen Abfrage dataprocessor'!$T$56="Studienende",'Stationen Abfrage dataprocessor'!$H$56+1,MIN('Stationen Abfrage dataprocessor'!$F$56,'Stationen Abfrage dataprocessor'!$H$56+1)))&lt;=('Stationen Abfrage dataprocessor'!$E$56),"kein_beobachtetes_fenster","definiert"))))</x:f>
        <x:v>definiert</x:v>
      </x:c>
      <x:c r="H260" s="182" t="str">
        <x:v>nein</x:v>
      </x:c>
      <x:c r="I260" s="182" t="str">
        <x:v>nein</x:v>
      </x:c>
      <x:c r="J260" s="182" t="str">
        <x:f>"nicht Voraussetzung"</x:f>
        <x:v>nicht Voraussetzung</x:v>
      </x:c>
      <x:c r="K260" s="190" t="n">
        <x:f>IF(G260="definiert",F260-E260,"")</x:f>
        <x:v>344</x:v>
      </x:c>
      <x:c r="L260" s="182" t="n">
        <x:v>56</x:v>
      </x:c>
      <x:c r="M260" s="182" t="str">
        <x:f>IF('Stationen Abfrage dataprocessor'!$K$56="","",'Stationen Abfrage dataprocessor'!$K$56)</x:f>
      </x:c>
      <x:c r="N260" s="182" t="str">
        <x:f>Definitionen!$B$2</x:f>
        <x:v>IP-COHORT-2026-10-28-01</x:v>
      </x:c>
    </x:row>
    <x:row r="261" ht="30" customHeight="1">
      <x:c r="A261" s="182" t="str">
        <x:f>'Stationen Abfrage dataprocessor'!$A$56</x:f>
        <x:v>UK Jena</x:v>
      </x:c>
      <x:c r="B261" s="182" t="str">
        <x:f>'Stationen Abfrage dataprocessor'!$D$56</x:f>
        <x:v>B430</x:v>
      </x:c>
      <x:c r="C261" s="182" t="str">
        <x:v>CRS-A</x:v>
      </x:c>
      <x:c r="D261" s="182" t="str">
        <x:f>'Stationen Abfrage dataprocessor'!$N$56</x:f>
        <x:v>ja</x:v>
      </x:c>
      <x:c r="E261" s="189" t="n">
        <x:f>IF(G261="definiert",MAX('Stationen Abfrage dataprocessor'!$E$56,'Stationen Abfrage dataprocessor'!$F$56),"")</x:f>
        <x:v>46122</x:v>
      </x:c>
      <x:c r="F261" s="189" t="n">
        <x:f>IF(G261="definiert",MIN('Stationen Abfrage dataprocessor'!$G$56,'Stationen Abfrage dataprocessor'!$H$56+1),"")</x:f>
        <x:v>46206</x:v>
      </x:c>
      <x:c r="G261" s="182" t="str">
        <x:f>IF(D261="nein","nicht_anwendbar",IF(D261&lt;&gt;"ja","Konfiguration fehlt",IF(OR(NOT(ISNUMBER('Stationen Abfrage dataprocessor'!$E$56)),NOT(ISNUMBER('Stationen Abfrage dataprocessor'!$F$56)),NOT(ISNUMBER('Stationen Abfrage dataprocessor'!$G$56)),NOT(ISNUMBER('Stationen Abfrage dataprocessor'!$H$56))),"Konfiguration fehlt",IF((MIN('Stationen Abfrage dataprocessor'!$G$56,'Stationen Abfrage dataprocessor'!$H$56+1))&lt;=(MAX('Stationen Abfrage dataprocessor'!$E$56,'Stationen Abfrage dataprocessor'!$F$56)),"kein_beobachtetes_fenster","definiert"))))</x:f>
        <x:v>definiert</x:v>
      </x:c>
      <x:c r="H261" s="182" t="str">
        <x:v>nein</x:v>
      </x:c>
      <x:c r="I261" s="182" t="str">
        <x:v>nein</x:v>
      </x:c>
      <x:c r="J261" s="182" t="str">
        <x:f>"nicht Voraussetzung"</x:f>
        <x:v>nicht Voraussetzung</x:v>
      </x:c>
      <x:c r="K261" s="190" t="n">
        <x:f>IF(G261="definiert",F261-E261,"")</x:f>
        <x:v>84</x:v>
      </x:c>
      <x:c r="L261" s="182" t="n">
        <x:v>56</x:v>
      </x:c>
      <x:c r="M261" s="182" t="str">
        <x:f>IF('Stationen Abfrage dataprocessor'!$K$56="","",'Stationen Abfrage dataprocessor'!$K$56)</x:f>
      </x:c>
      <x:c r="N261" s="182" t="str">
        <x:f>Definitionen!$B$2</x:f>
        <x:v>IP-COHORT-2026-10-28-01</x:v>
      </x:c>
    </x:row>
    <x:row r="262" ht="30" customHeight="1">
      <x:c r="A262" s="182" t="str">
        <x:f>'Stationen Abfrage dataprocessor'!$A$56</x:f>
        <x:v>UK Jena</x:v>
      </x:c>
      <x:c r="B262" s="182" t="str">
        <x:f>'Stationen Abfrage dataprocessor'!$D$56</x:f>
        <x:v>B430</x:v>
      </x:c>
      <x:c r="C262" s="182" t="str">
        <x:v>CRS-B</x:v>
      </x:c>
      <x:c r="D262" s="182" t="str">
        <x:f>'Stationen Abfrage dataprocessor'!$O$56</x:f>
        <x:v>ja</x:v>
      </x:c>
      <x:c r="E262" s="189" t="n">
        <x:f>IF(G262="definiert",MAX('Stationen Abfrage dataprocessor'!$E$56,'Stationen Abfrage dataprocessor'!$G$56),"")</x:f>
        <x:v>46206</x:v>
      </x:c>
      <x:c r="F262" s="189" t="n">
        <x:f>IF(G262="definiert",'Stationen Abfrage dataprocessor'!$H$56+1,"")</x:f>
        <x:v>46266</x:v>
      </x:c>
      <x:c r="G262" s="182" t="str">
        <x:f>IF(D262="nein","nicht_anwendbar",IF(D262&lt;&gt;"ja","Konfiguration fehlt",IF(OR(NOT(ISNUMBER('Stationen Abfrage dataprocessor'!$E$56)),NOT(ISNUMBER('Stationen Abfrage dataprocessor'!$G$56)),NOT(ISNUMBER('Stationen Abfrage dataprocessor'!$H$56))),"Konfiguration fehlt",IF(('Stationen Abfrage dataprocessor'!$H$56+1)&lt;=(MAX('Stationen Abfrage dataprocessor'!$E$56,'Stationen Abfrage dataprocessor'!$G$56)),"kein_beobachtetes_fenster","definiert"))))</x:f>
        <x:v>definiert</x:v>
      </x:c>
      <x:c r="H262" s="182" t="str">
        <x:v>nein</x:v>
      </x:c>
      <x:c r="I262" s="182" t="str">
        <x:v>nein</x:v>
      </x:c>
      <x:c r="J262" s="182" t="str">
        <x:f>'Stationen Abfrage dataprocessor'!$S$56</x:f>
        <x:v>fallbezogen prüfen</x:v>
      </x:c>
      <x:c r="K262" s="190" t="n">
        <x:f>IF(G262="definiert",F262-E262,"")</x:f>
        <x:v>60</x:v>
      </x:c>
      <x:c r="L262" s="182" t="n">
        <x:v>56</x:v>
      </x:c>
      <x:c r="M262" s="182" t="str">
        <x:f>IF('Stationen Abfrage dataprocessor'!$K$56="","",'Stationen Abfrage dataprocessor'!$K$56)</x:f>
      </x:c>
      <x:c r="N262" s="182" t="str">
        <x:f>Definitionen!$B$2</x:f>
        <x:v>IP-COHORT-2026-10-28-01</x:v>
      </x:c>
    </x:row>
    <x:row r="263" ht="30" customHeight="1">
      <x:c r="A263" s="182" t="str">
        <x:f>'Stationen Abfrage dataprocessor'!$A$56</x:f>
        <x:v>UK Jena</x:v>
      </x:c>
      <x:c r="B263" s="182" t="str">
        <x:f>'Stationen Abfrage dataprocessor'!$D$56</x:f>
        <x:v>B430</x:v>
      </x:c>
      <x:c r="C263" s="182" t="str">
        <x:v>RES</x:v>
      </x:c>
      <x:c r="D263" s="182" t="str">
        <x:f>'Stationen Abfrage dataprocessor'!$P$56</x:f>
        <x:v>ja</x:v>
      </x:c>
      <x:c r="E263" s="189" t="n">
        <x:f>IF(G263="definiert",MAX('Stationen Abfrage dataprocessor'!$E$56,'Stationen Abfrage dataprocessor'!$G$56),"")</x:f>
        <x:v>46206</x:v>
      </x:c>
      <x:c r="F263" s="189" t="n">
        <x:f>IF(G263="definiert",'Stationen Abfrage dataprocessor'!$H$56+1,"")</x:f>
        <x:v>46266</x:v>
      </x:c>
      <x:c r="G263" s="182" t="str">
        <x:f>IF(D263="nein","nicht_anwendbar",IF(D263&lt;&gt;"ja","Konfiguration fehlt",IF(OR(NOT(ISNUMBER('Stationen Abfrage dataprocessor'!$E$56)),NOT(ISNUMBER('Stationen Abfrage dataprocessor'!$G$56)),NOT(ISNUMBER('Stationen Abfrage dataprocessor'!$H$56))),"Konfiguration fehlt",IF(('Stationen Abfrage dataprocessor'!$H$56+1)&lt;=(MAX('Stationen Abfrage dataprocessor'!$E$56,'Stationen Abfrage dataprocessor'!$G$56)),"kein_beobachtetes_fenster","definiert"))))</x:f>
        <x:v>definiert</x:v>
      </x:c>
      <x:c r="H263" s="182" t="str">
        <x:v>ja</x:v>
      </x:c>
      <x:c r="I263" s="182" t="str">
        <x:v>ja</x:v>
      </x:c>
      <x:c r="J263" s="182" t="str">
        <x:f>'Stationen Abfrage dataprocessor'!$S$56</x:f>
        <x:v>fallbezogen prüfen</x:v>
      </x:c>
      <x:c r="K263" s="190" t="n">
        <x:f>IF(G263="definiert",F263-E263,"")</x:f>
        <x:v>60</x:v>
      </x:c>
      <x:c r="L263" s="182" t="n">
        <x:v>56</x:v>
      </x:c>
      <x:c r="M263" s="182" t="str">
        <x:f>IF('Stationen Abfrage dataprocessor'!$K$56="","",'Stationen Abfrage dataprocessor'!$K$56)</x:f>
      </x:c>
      <x:c r="N263" s="182" t="str">
        <x:f>Definitionen!$B$2</x:f>
        <x:v>IP-COHORT-2026-10-28-01</x:v>
      </x:c>
    </x:row>
    <x:row r="264" ht="30" customHeight="1">
      <x:c r="A264" s="182" t="str">
        <x:f>'Stationen Abfrage dataprocessor'!$A$56</x:f>
        <x:v>UK Jena</x:v>
      </x:c>
      <x:c r="B264" s="182" t="str">
        <x:f>'Stationen Abfrage dataprocessor'!$D$56</x:f>
        <x:v>B430</x:v>
      </x:c>
      <x:c r="C264" s="182" t="str">
        <x:v>TRS</x:v>
      </x:c>
      <x:c r="D264" s="182" t="str">
        <x:f>'Stationen Abfrage dataprocessor'!$Q$56</x:f>
        <x:v>ja</x:v>
      </x:c>
      <x:c r="E264" s="189" t="n">
        <x:f>IF(G264="definiert",'Stationen Abfrage dataprocessor'!$E$56,"")</x:f>
        <x:v>45778</x:v>
      </x:c>
      <x:c r="F264" s="189" t="n">
        <x:f>IF(G264="definiert",'Stationen Abfrage dataprocessor'!$H$56+1,"")</x:f>
        <x:v>46266</x:v>
      </x:c>
      <x:c r="G264" s="182" t="str">
        <x:f>IF(D264="nein","nicht_anwendbar",IF(D264&lt;&gt;"ja","Konfiguration fehlt",IF(OR(NOT(ISNUMBER('Stationen Abfrage dataprocessor'!$E$56)),NOT(ISNUMBER('Stationen Abfrage dataprocessor'!$H$56))),"Konfiguration fehlt",IF(('Stationen Abfrage dataprocessor'!$H$56+1)&lt;=('Stationen Abfrage dataprocessor'!$E$56),"kein_beobachtetes_fenster","definiert"))))</x:f>
        <x:v>definiert</x:v>
      </x:c>
      <x:c r="H264" s="182" t="str">
        <x:v>ja</x:v>
      </x:c>
      <x:c r="I264" s="182" t="str">
        <x:v>nein</x:v>
      </x:c>
      <x:c r="J264" s="182" t="str">
        <x:f>"nicht Voraussetzung"</x:f>
        <x:v>nicht Voraussetzung</x:v>
      </x:c>
      <x:c r="K264" s="190" t="n">
        <x:f>IF(G264="definiert",F264-E264,"")</x:f>
        <x:v>488</x:v>
      </x:c>
      <x:c r="L264" s="182" t="n">
        <x:v>56</x:v>
      </x:c>
      <x:c r="M264" s="182" t="str">
        <x:f>IF('Stationen Abfrage dataprocessor'!$K$56="","",'Stationen Abfrage dataprocessor'!$K$56)</x:f>
      </x:c>
      <x:c r="N264" s="182" t="str">
        <x:f>Definitionen!$B$2</x:f>
        <x:v>IP-COHORT-2026-10-28-01</x:v>
      </x:c>
    </x:row>
    <x:row r="265" ht="30" customHeight="1">
      <x:c r="A265" s="182" t="str">
        <x:f>'Stationen Abfrage dataprocessor'!$A$57</x:f>
        <x:v>UK Jena</x:v>
      </x:c>
      <x:c r="B265" s="182" t="str">
        <x:f>'Stationen Abfrage dataprocessor'!$D$57</x:f>
        <x:v>A430</x:v>
      </x:c>
      <x:c r="C265" s="182" t="str">
        <x:v>BS</x:v>
      </x:c>
      <x:c r="D265" s="182" t="str">
        <x:f>'Stationen Abfrage dataprocessor'!$M$57</x:f>
        <x:v>ja</x:v>
      </x:c>
      <x:c r="E265" s="189" t="n">
        <x:f>IF(G265="definiert",'Stationen Abfrage dataprocessor'!$E$57,"")</x:f>
        <x:v>45635</x:v>
      </x:c>
      <x:c r="F265" s="189" t="n">
        <x:f>IF(G265="definiert",IF('Stationen Abfrage dataprocessor'!$T$57="Studienende",'Stationen Abfrage dataprocessor'!$H$57+1,MIN('Stationen Abfrage dataprocessor'!$F$57,'Stationen Abfrage dataprocessor'!$H$57+1)),"")</x:f>
        <x:v>46122</x:v>
      </x:c>
      <x:c r="G265" s="182" t="str">
        <x:f>IF(D265="nein","nicht_anwendbar",IF(D265&lt;&gt;"ja","Konfiguration fehlt",IF(OR(NOT(ISNUMBER('Stationen Abfrage dataprocessor'!$E$57)),NOT(ISNUMBER('Stationen Abfrage dataprocessor'!$H$57)),AND('Stationen Abfrage dataprocessor'!$T$57&lt;&gt;"Phasengrenze",'Stationen Abfrage dataprocessor'!$T$57&lt;&gt;"Studienende"),AND('Stationen Abfrage dataprocessor'!$T$57="Phasengrenze",NOT(ISNUMBER('Stationen Abfrage dataprocessor'!$F$57)))),"Konfiguration fehlt",IF((IF('Stationen Abfrage dataprocessor'!$T$57="Studienende",'Stationen Abfrage dataprocessor'!$H$57+1,MIN('Stationen Abfrage dataprocessor'!$F$57,'Stationen Abfrage dataprocessor'!$H$57+1)))&lt;=('Stationen Abfrage dataprocessor'!$E$57),"kein_beobachtetes_fenster","definiert"))))</x:f>
        <x:v>definiert</x:v>
      </x:c>
      <x:c r="H265" s="182" t="str">
        <x:v>nein</x:v>
      </x:c>
      <x:c r="I265" s="182" t="str">
        <x:v>nein</x:v>
      </x:c>
      <x:c r="J265" s="182" t="str">
        <x:f>"nicht Voraussetzung"</x:f>
        <x:v>nicht Voraussetzung</x:v>
      </x:c>
      <x:c r="K265" s="190" t="n">
        <x:f>IF(G265="definiert",F265-E265,"")</x:f>
        <x:v>487</x:v>
      </x:c>
      <x:c r="L265" s="182" t="n">
        <x:v>57</x:v>
      </x:c>
      <x:c r="M265" s="182" t="str">
        <x:f>IF('Stationen Abfrage dataprocessor'!$K$57="","",'Stationen Abfrage dataprocessor'!$K$57)</x:f>
      </x:c>
      <x:c r="N265" s="182" t="str">
        <x:f>Definitionen!$B$2</x:f>
        <x:v>IP-COHORT-2026-10-28-01</x:v>
      </x:c>
    </x:row>
    <x:row r="266" ht="30" customHeight="1">
      <x:c r="A266" s="182" t="str">
        <x:f>'Stationen Abfrage dataprocessor'!$A$57</x:f>
        <x:v>UK Jena</x:v>
      </x:c>
      <x:c r="B266" s="182" t="str">
        <x:f>'Stationen Abfrage dataprocessor'!$D$57</x:f>
        <x:v>A430</x:v>
      </x:c>
      <x:c r="C266" s="182" t="str">
        <x:v>CRS-A</x:v>
      </x:c>
      <x:c r="D266" s="182" t="str">
        <x:f>'Stationen Abfrage dataprocessor'!$N$57</x:f>
        <x:v>ja</x:v>
      </x:c>
      <x:c r="E266" s="189" t="n">
        <x:f>IF(G266="definiert",MAX('Stationen Abfrage dataprocessor'!$E$57,'Stationen Abfrage dataprocessor'!$F$57),"")</x:f>
        <x:v>46122</x:v>
      </x:c>
      <x:c r="F266" s="189" t="n">
        <x:f>IF(G266="definiert",MIN('Stationen Abfrage dataprocessor'!$G$57,'Stationen Abfrage dataprocessor'!$H$57+1),"")</x:f>
        <x:v>46234</x:v>
      </x:c>
      <x:c r="G266" s="182" t="str">
        <x:f>IF(D266="nein","nicht_anwendbar",IF(D266&lt;&gt;"ja","Konfiguration fehlt",IF(OR(NOT(ISNUMBER('Stationen Abfrage dataprocessor'!$E$57)),NOT(ISNUMBER('Stationen Abfrage dataprocessor'!$F$57)),NOT(ISNUMBER('Stationen Abfrage dataprocessor'!$G$57)),NOT(ISNUMBER('Stationen Abfrage dataprocessor'!$H$57))),"Konfiguration fehlt",IF((MIN('Stationen Abfrage dataprocessor'!$G$57,'Stationen Abfrage dataprocessor'!$H$57+1))&lt;=(MAX('Stationen Abfrage dataprocessor'!$E$57,'Stationen Abfrage dataprocessor'!$F$57)),"kein_beobachtetes_fenster","definiert"))))</x:f>
        <x:v>definiert</x:v>
      </x:c>
      <x:c r="H266" s="182" t="str">
        <x:v>nein</x:v>
      </x:c>
      <x:c r="I266" s="182" t="str">
        <x:v>nein</x:v>
      </x:c>
      <x:c r="J266" s="182" t="str">
        <x:f>"nicht Voraussetzung"</x:f>
        <x:v>nicht Voraussetzung</x:v>
      </x:c>
      <x:c r="K266" s="190" t="n">
        <x:f>IF(G266="definiert",F266-E266,"")</x:f>
        <x:v>112</x:v>
      </x:c>
      <x:c r="L266" s="182" t="n">
        <x:v>57</x:v>
      </x:c>
      <x:c r="M266" s="182" t="str">
        <x:f>IF('Stationen Abfrage dataprocessor'!$K$57="","",'Stationen Abfrage dataprocessor'!$K$57)</x:f>
      </x:c>
      <x:c r="N266" s="182" t="str">
        <x:f>Definitionen!$B$2</x:f>
        <x:v>IP-COHORT-2026-10-28-01</x:v>
      </x:c>
    </x:row>
    <x:row r="267" ht="30" customHeight="1">
      <x:c r="A267" s="182" t="str">
        <x:f>'Stationen Abfrage dataprocessor'!$A$57</x:f>
        <x:v>UK Jena</x:v>
      </x:c>
      <x:c r="B267" s="182" t="str">
        <x:f>'Stationen Abfrage dataprocessor'!$D$57</x:f>
        <x:v>A430</x:v>
      </x:c>
      <x:c r="C267" s="182" t="str">
        <x:v>CRS-B</x:v>
      </x:c>
      <x:c r="D267" s="182" t="str">
        <x:f>'Stationen Abfrage dataprocessor'!$O$57</x:f>
        <x:v>ja</x:v>
      </x:c>
      <x:c r="E267" s="189" t="n">
        <x:f>IF(G267="definiert",MAX('Stationen Abfrage dataprocessor'!$E$57,'Stationen Abfrage dataprocessor'!$G$57),"")</x:f>
        <x:v>46234</x:v>
      </x:c>
      <x:c r="F267" s="189" t="n">
        <x:f>IF(G267="definiert",'Stationen Abfrage dataprocessor'!$H$57+1,"")</x:f>
        <x:v>46266</x:v>
      </x:c>
      <x:c r="G267" s="182" t="str">
        <x:f>IF(D267="nein","nicht_anwendbar",IF(D267&lt;&gt;"ja","Konfiguration fehlt",IF(OR(NOT(ISNUMBER('Stationen Abfrage dataprocessor'!$E$57)),NOT(ISNUMBER('Stationen Abfrage dataprocessor'!$G$57)),NOT(ISNUMBER('Stationen Abfrage dataprocessor'!$H$57))),"Konfiguration fehlt",IF(('Stationen Abfrage dataprocessor'!$H$57+1)&lt;=(MAX('Stationen Abfrage dataprocessor'!$E$57,'Stationen Abfrage dataprocessor'!$G$57)),"kein_beobachtetes_fenster","definiert"))))</x:f>
        <x:v>definiert</x:v>
      </x:c>
      <x:c r="H267" s="182" t="str">
        <x:v>nein</x:v>
      </x:c>
      <x:c r="I267" s="182" t="str">
        <x:v>nein</x:v>
      </x:c>
      <x:c r="J267" s="182" t="str">
        <x:f>'Stationen Abfrage dataprocessor'!$S$57</x:f>
        <x:v>fallbezogen prüfen</x:v>
      </x:c>
      <x:c r="K267" s="190" t="n">
        <x:f>IF(G267="definiert",F267-E267,"")</x:f>
        <x:v>32</x:v>
      </x:c>
      <x:c r="L267" s="182" t="n">
        <x:v>57</x:v>
      </x:c>
      <x:c r="M267" s="182" t="str">
        <x:f>IF('Stationen Abfrage dataprocessor'!$K$57="","",'Stationen Abfrage dataprocessor'!$K$57)</x:f>
      </x:c>
      <x:c r="N267" s="182" t="str">
        <x:f>Definitionen!$B$2</x:f>
        <x:v>IP-COHORT-2026-10-28-01</x:v>
      </x:c>
    </x:row>
    <x:row r="268" ht="30" customHeight="1">
      <x:c r="A268" s="182" t="str">
        <x:f>'Stationen Abfrage dataprocessor'!$A$57</x:f>
        <x:v>UK Jena</x:v>
      </x:c>
      <x:c r="B268" s="182" t="str">
        <x:f>'Stationen Abfrage dataprocessor'!$D$57</x:f>
        <x:v>A430</x:v>
      </x:c>
      <x:c r="C268" s="182" t="str">
        <x:v>RES</x:v>
      </x:c>
      <x:c r="D268" s="182" t="str">
        <x:f>'Stationen Abfrage dataprocessor'!$P$57</x:f>
        <x:v>ja</x:v>
      </x:c>
      <x:c r="E268" s="189" t="n">
        <x:f>IF(G268="definiert",MAX('Stationen Abfrage dataprocessor'!$E$57,'Stationen Abfrage dataprocessor'!$G$57),"")</x:f>
        <x:v>46234</x:v>
      </x:c>
      <x:c r="F268" s="189" t="n">
        <x:f>IF(G268="definiert",'Stationen Abfrage dataprocessor'!$H$57+1,"")</x:f>
        <x:v>46266</x:v>
      </x:c>
      <x:c r="G268" s="182" t="str">
        <x:f>IF(D268="nein","nicht_anwendbar",IF(D268&lt;&gt;"ja","Konfiguration fehlt",IF(OR(NOT(ISNUMBER('Stationen Abfrage dataprocessor'!$E$57)),NOT(ISNUMBER('Stationen Abfrage dataprocessor'!$G$57)),NOT(ISNUMBER('Stationen Abfrage dataprocessor'!$H$57))),"Konfiguration fehlt",IF(('Stationen Abfrage dataprocessor'!$H$57+1)&lt;=(MAX('Stationen Abfrage dataprocessor'!$E$57,'Stationen Abfrage dataprocessor'!$G$57)),"kein_beobachtetes_fenster","definiert"))))</x:f>
        <x:v>definiert</x:v>
      </x:c>
      <x:c r="H268" s="182" t="str">
        <x:v>ja</x:v>
      </x:c>
      <x:c r="I268" s="182" t="str">
        <x:v>ja</x:v>
      </x:c>
      <x:c r="J268" s="182" t="str">
        <x:f>'Stationen Abfrage dataprocessor'!$S$57</x:f>
        <x:v>fallbezogen prüfen</x:v>
      </x:c>
      <x:c r="K268" s="190" t="n">
        <x:f>IF(G268="definiert",F268-E268,"")</x:f>
        <x:v>32</x:v>
      </x:c>
      <x:c r="L268" s="182" t="n">
        <x:v>57</x:v>
      </x:c>
      <x:c r="M268" s="182" t="str">
        <x:f>IF('Stationen Abfrage dataprocessor'!$K$57="","",'Stationen Abfrage dataprocessor'!$K$57)</x:f>
      </x:c>
      <x:c r="N268" s="182" t="str">
        <x:f>Definitionen!$B$2</x:f>
        <x:v>IP-COHORT-2026-10-28-01</x:v>
      </x:c>
    </x:row>
    <x:row r="269" ht="30" customHeight="1">
      <x:c r="A269" s="182" t="str">
        <x:f>'Stationen Abfrage dataprocessor'!$A$57</x:f>
        <x:v>UK Jena</x:v>
      </x:c>
      <x:c r="B269" s="182" t="str">
        <x:f>'Stationen Abfrage dataprocessor'!$D$57</x:f>
        <x:v>A430</x:v>
      </x:c>
      <x:c r="C269" s="182" t="str">
        <x:v>TRS</x:v>
      </x:c>
      <x:c r="D269" s="182" t="str">
        <x:f>'Stationen Abfrage dataprocessor'!$Q$57</x:f>
        <x:v>ja</x:v>
      </x:c>
      <x:c r="E269" s="189" t="n">
        <x:f>IF(G269="definiert",'Stationen Abfrage dataprocessor'!$E$57,"")</x:f>
        <x:v>45635</x:v>
      </x:c>
      <x:c r="F269" s="189" t="n">
        <x:f>IF(G269="definiert",'Stationen Abfrage dataprocessor'!$H$57+1,"")</x:f>
        <x:v>46266</x:v>
      </x:c>
      <x:c r="G269" s="182" t="str">
        <x:f>IF(D269="nein","nicht_anwendbar",IF(D269&lt;&gt;"ja","Konfiguration fehlt",IF(OR(NOT(ISNUMBER('Stationen Abfrage dataprocessor'!$E$57)),NOT(ISNUMBER('Stationen Abfrage dataprocessor'!$H$57))),"Konfiguration fehlt",IF(('Stationen Abfrage dataprocessor'!$H$57+1)&lt;=('Stationen Abfrage dataprocessor'!$E$57),"kein_beobachtetes_fenster","definiert"))))</x:f>
        <x:v>definiert</x:v>
      </x:c>
      <x:c r="H269" s="182" t="str">
        <x:v>ja</x:v>
      </x:c>
      <x:c r="I269" s="182" t="str">
        <x:v>nein</x:v>
      </x:c>
      <x:c r="J269" s="182" t="str">
        <x:f>"nicht Voraussetzung"</x:f>
        <x:v>nicht Voraussetzung</x:v>
      </x:c>
      <x:c r="K269" s="190" t="n">
        <x:f>IF(G269="definiert",F269-E269,"")</x:f>
        <x:v>631</x:v>
      </x:c>
      <x:c r="L269" s="182" t="n">
        <x:v>57</x:v>
      </x:c>
      <x:c r="M269" s="182" t="str">
        <x:f>IF('Stationen Abfrage dataprocessor'!$K$57="","",'Stationen Abfrage dataprocessor'!$K$57)</x:f>
      </x:c>
      <x:c r="N269" s="182" t="str">
        <x:f>Definitionen!$B$2</x:f>
        <x:v>IP-COHORT-2026-10-28-01</x:v>
      </x:c>
    </x:row>
    <x:row r="270" ht="30" customHeight="1">
      <x:c r="A270" s="182" t="str">
        <x:f>'Stationen Abfrage dataprocessor'!$A$58</x:f>
        <x:v>UKSH Kiel</x:v>
      </x:c>
      <x:c r="B270" s="182" t="str">
        <x:f>'Stationen Abfrage dataprocessor'!$D$58</x:f>
        <x:v>C220 Innere Med I</x:v>
      </x:c>
      <x:c r="C270" s="182" t="str">
        <x:v>BS</x:v>
      </x:c>
      <x:c r="D270" s="182" t="str">
        <x:f>'Stationen Abfrage dataprocessor'!$M$58</x:f>
        <x:v>ja</x:v>
      </x:c>
      <x:c r="E270" s="189" t="n">
        <x:f>IF(G270="definiert",'Stationen Abfrage dataprocessor'!$E$58,"")</x:f>
        <x:v>45930</x:v>
      </x:c>
      <x:c r="F270" s="189" t="n">
        <x:f>IF(G270="definiert",IF('Stationen Abfrage dataprocessor'!$T$58="Studienende",'Stationen Abfrage dataprocessor'!$H$58+1,MIN('Stationen Abfrage dataprocessor'!$F$58,'Stationen Abfrage dataprocessor'!$H$58+1)),"")</x:f>
        <x:v>46059</x:v>
      </x:c>
      <x:c r="G270" s="182" t="str">
        <x:f>IF(D270="nein","nicht_anwendbar",IF(D270&lt;&gt;"ja","Konfiguration fehlt",IF(OR(NOT(ISNUMBER('Stationen Abfrage dataprocessor'!$E$58)),NOT(ISNUMBER('Stationen Abfrage dataprocessor'!$H$58)),AND('Stationen Abfrage dataprocessor'!$T$58&lt;&gt;"Phasengrenze",'Stationen Abfrage dataprocessor'!$T$58&lt;&gt;"Studienende"),AND('Stationen Abfrage dataprocessor'!$T$58="Phasengrenze",NOT(ISNUMBER('Stationen Abfrage dataprocessor'!$F$58)))),"Konfiguration fehlt",IF((IF('Stationen Abfrage dataprocessor'!$T$58="Studienende",'Stationen Abfrage dataprocessor'!$H$58+1,MIN('Stationen Abfrage dataprocessor'!$F$58,'Stationen Abfrage dataprocessor'!$H$58+1)))&lt;=('Stationen Abfrage dataprocessor'!$E$58),"kein_beobachtetes_fenster","definiert"))))</x:f>
        <x:v>definiert</x:v>
      </x:c>
      <x:c r="H270" s="182" t="str">
        <x:v>nein</x:v>
      </x:c>
      <x:c r="I270" s="182" t="str">
        <x:v>nein</x:v>
      </x:c>
      <x:c r="J270" s="182" t="str">
        <x:f>"nicht Voraussetzung"</x:f>
        <x:v>nicht Voraussetzung</x:v>
      </x:c>
      <x:c r="K270" s="190" t="n">
        <x:f>IF(G270="definiert",F270-E270,"")</x:f>
        <x:v>129</x:v>
      </x:c>
      <x:c r="L270" s="182" t="n">
        <x:v>58</x:v>
      </x:c>
      <x:c r="M270" s="182" t="str">
        <x:f>IF('Stationen Abfrage dataprocessor'!$K$58="","",'Stationen Abfrage dataprocessor'!$K$58)</x:f>
      </x:c>
      <x:c r="N270" s="182" t="str">
        <x:f>Definitionen!$B$2</x:f>
        <x:v>IP-COHORT-2026-10-28-01</x:v>
      </x:c>
    </x:row>
    <x:row r="271" ht="30" customHeight="1">
      <x:c r="A271" s="182" t="str">
        <x:f>'Stationen Abfrage dataprocessor'!$A$58</x:f>
        <x:v>UKSH Kiel</x:v>
      </x:c>
      <x:c r="B271" s="182" t="str">
        <x:f>'Stationen Abfrage dataprocessor'!$D$58</x:f>
        <x:v>C220 Innere Med I</x:v>
      </x:c>
      <x:c r="C271" s="182" t="str">
        <x:v>CRS-A</x:v>
      </x:c>
      <x:c r="D271" s="182" t="str">
        <x:f>'Stationen Abfrage dataprocessor'!$N$58</x:f>
        <x:v>ja</x:v>
      </x:c>
      <x:c r="E271" s="189" t="n">
        <x:f>IF(G271="definiert",MAX('Stationen Abfrage dataprocessor'!$E$58,'Stationen Abfrage dataprocessor'!$F$58),"")</x:f>
        <x:v>46059</x:v>
      </x:c>
      <x:c r="F271" s="189" t="n">
        <x:f>IF(G271="definiert",MIN('Stationen Abfrage dataprocessor'!$G$58,'Stationen Abfrage dataprocessor'!$H$58+1),"")</x:f>
        <x:v>46087</x:v>
      </x:c>
      <x:c r="G271" s="182" t="str">
        <x:f>IF(D271="nein","nicht_anwendbar",IF(D271&lt;&gt;"ja","Konfiguration fehlt",IF(OR(NOT(ISNUMBER('Stationen Abfrage dataprocessor'!$E$58)),NOT(ISNUMBER('Stationen Abfrage dataprocessor'!$F$58)),NOT(ISNUMBER('Stationen Abfrage dataprocessor'!$G$58)),NOT(ISNUMBER('Stationen Abfrage dataprocessor'!$H$58))),"Konfiguration fehlt",IF((MIN('Stationen Abfrage dataprocessor'!$G$58,'Stationen Abfrage dataprocessor'!$H$58+1))&lt;=(MAX('Stationen Abfrage dataprocessor'!$E$58,'Stationen Abfrage dataprocessor'!$F$58)),"kein_beobachtetes_fenster","definiert"))))</x:f>
        <x:v>definiert</x:v>
      </x:c>
      <x:c r="H271" s="182" t="str">
        <x:v>nein</x:v>
      </x:c>
      <x:c r="I271" s="182" t="str">
        <x:v>nein</x:v>
      </x:c>
      <x:c r="J271" s="182" t="str">
        <x:f>"nicht Voraussetzung"</x:f>
        <x:v>nicht Voraussetzung</x:v>
      </x:c>
      <x:c r="K271" s="190" t="n">
        <x:f>IF(G271="definiert",F271-E271,"")</x:f>
        <x:v>28</x:v>
      </x:c>
      <x:c r="L271" s="182" t="n">
        <x:v>58</x:v>
      </x:c>
      <x:c r="M271" s="182" t="str">
        <x:f>IF('Stationen Abfrage dataprocessor'!$K$58="","",'Stationen Abfrage dataprocessor'!$K$58)</x:f>
      </x:c>
      <x:c r="N271" s="182" t="str">
        <x:f>Definitionen!$B$2</x:f>
        <x:v>IP-COHORT-2026-10-28-01</x:v>
      </x:c>
    </x:row>
    <x:row r="272" ht="30" customHeight="1">
      <x:c r="A272" s="182" t="str">
        <x:f>'Stationen Abfrage dataprocessor'!$A$58</x:f>
        <x:v>UKSH Kiel</x:v>
      </x:c>
      <x:c r="B272" s="182" t="str">
        <x:f>'Stationen Abfrage dataprocessor'!$D$58</x:f>
        <x:v>C220 Innere Med I</x:v>
      </x:c>
      <x:c r="C272" s="182" t="str">
        <x:v>CRS-B</x:v>
      </x:c>
      <x:c r="D272" s="182" t="str">
        <x:f>'Stationen Abfrage dataprocessor'!$O$58</x:f>
        <x:v>ja</x:v>
      </x:c>
      <x:c r="E272" s="189" t="n">
        <x:f>IF(G272="definiert",MAX('Stationen Abfrage dataprocessor'!$E$58,'Stationen Abfrage dataprocessor'!$G$58),"")</x:f>
        <x:v>46087</x:v>
      </x:c>
      <x:c r="F272" s="189" t="n">
        <x:f>IF(G272="definiert",'Stationen Abfrage dataprocessor'!$H$58+1,"")</x:f>
        <x:v>46204</x:v>
      </x:c>
      <x:c r="G272" s="182" t="str">
        <x:f>IF(D272="nein","nicht_anwendbar",IF(D272&lt;&gt;"ja","Konfiguration fehlt",IF(OR(NOT(ISNUMBER('Stationen Abfrage dataprocessor'!$E$58)),NOT(ISNUMBER('Stationen Abfrage dataprocessor'!$G$58)),NOT(ISNUMBER('Stationen Abfrage dataprocessor'!$H$58))),"Konfiguration fehlt",IF(('Stationen Abfrage dataprocessor'!$H$58+1)&lt;=(MAX('Stationen Abfrage dataprocessor'!$E$58,'Stationen Abfrage dataprocessor'!$G$58)),"kein_beobachtetes_fenster","definiert"))))</x:f>
        <x:v>definiert</x:v>
      </x:c>
      <x:c r="H272" s="182" t="str">
        <x:v>nein</x:v>
      </x:c>
      <x:c r="I272" s="182" t="str">
        <x:v>nein</x:v>
      </x:c>
      <x:c r="J272" s="182" t="str">
        <x:f>'Stationen Abfrage dataprocessor'!$S$58</x:f>
        <x:v>fallbezogen prüfen</x:v>
      </x:c>
      <x:c r="K272" s="190" t="n">
        <x:f>IF(G272="definiert",F272-E272,"")</x:f>
        <x:v>117</x:v>
      </x:c>
      <x:c r="L272" s="182" t="n">
        <x:v>58</x:v>
      </x:c>
      <x:c r="M272" s="182" t="str">
        <x:f>IF('Stationen Abfrage dataprocessor'!$K$58="","",'Stationen Abfrage dataprocessor'!$K$58)</x:f>
      </x:c>
      <x:c r="N272" s="182" t="str">
        <x:f>Definitionen!$B$2</x:f>
        <x:v>IP-COHORT-2026-10-28-01</x:v>
      </x:c>
    </x:row>
    <x:row r="273" ht="30" customHeight="1">
      <x:c r="A273" s="182" t="str">
        <x:f>'Stationen Abfrage dataprocessor'!$A$58</x:f>
        <x:v>UKSH Kiel</x:v>
      </x:c>
      <x:c r="B273" s="182" t="str">
        <x:f>'Stationen Abfrage dataprocessor'!$D$58</x:f>
        <x:v>C220 Innere Med I</x:v>
      </x:c>
      <x:c r="C273" s="182" t="str">
        <x:v>RES</x:v>
      </x:c>
      <x:c r="D273" s="182" t="str">
        <x:f>'Stationen Abfrage dataprocessor'!$P$58</x:f>
        <x:v>ja</x:v>
      </x:c>
      <x:c r="E273" s="189" t="n">
        <x:f>IF(G273="definiert",MAX('Stationen Abfrage dataprocessor'!$E$58,'Stationen Abfrage dataprocessor'!$G$58),"")</x:f>
        <x:v>46087</x:v>
      </x:c>
      <x:c r="F273" s="189" t="n">
        <x:f>IF(G273="definiert",'Stationen Abfrage dataprocessor'!$H$58+1,"")</x:f>
        <x:v>46204</x:v>
      </x:c>
      <x:c r="G273" s="182" t="str">
        <x:f>IF(D273="nein","nicht_anwendbar",IF(D273&lt;&gt;"ja","Konfiguration fehlt",IF(OR(NOT(ISNUMBER('Stationen Abfrage dataprocessor'!$E$58)),NOT(ISNUMBER('Stationen Abfrage dataprocessor'!$G$58)),NOT(ISNUMBER('Stationen Abfrage dataprocessor'!$H$58))),"Konfiguration fehlt",IF(('Stationen Abfrage dataprocessor'!$H$58+1)&lt;=(MAX('Stationen Abfrage dataprocessor'!$E$58,'Stationen Abfrage dataprocessor'!$G$58)),"kein_beobachtetes_fenster","definiert"))))</x:f>
        <x:v>definiert</x:v>
      </x:c>
      <x:c r="H273" s="182" t="str">
        <x:v>ja</x:v>
      </x:c>
      <x:c r="I273" s="182" t="str">
        <x:v>ja</x:v>
      </x:c>
      <x:c r="J273" s="182" t="str">
        <x:f>'Stationen Abfrage dataprocessor'!$S$58</x:f>
        <x:v>fallbezogen prüfen</x:v>
      </x:c>
      <x:c r="K273" s="190" t="n">
        <x:f>IF(G273="definiert",F273-E273,"")</x:f>
        <x:v>117</x:v>
      </x:c>
      <x:c r="L273" s="182" t="n">
        <x:v>58</x:v>
      </x:c>
      <x:c r="M273" s="182" t="str">
        <x:f>IF('Stationen Abfrage dataprocessor'!$K$58="","",'Stationen Abfrage dataprocessor'!$K$58)</x:f>
      </x:c>
      <x:c r="N273" s="182" t="str">
        <x:f>Definitionen!$B$2</x:f>
        <x:v>IP-COHORT-2026-10-28-01</x:v>
      </x:c>
    </x:row>
    <x:row r="274" ht="30" customHeight="1">
      <x:c r="A274" s="182" t="str">
        <x:f>'Stationen Abfrage dataprocessor'!$A$58</x:f>
        <x:v>UKSH Kiel</x:v>
      </x:c>
      <x:c r="B274" s="182" t="str">
        <x:f>'Stationen Abfrage dataprocessor'!$D$58</x:f>
        <x:v>C220 Innere Med I</x:v>
      </x:c>
      <x:c r="C274" s="182" t="str">
        <x:v>TRS</x:v>
      </x:c>
      <x:c r="D274" s="182" t="str">
        <x:f>'Stationen Abfrage dataprocessor'!$Q$58</x:f>
        <x:v>ja</x:v>
      </x:c>
      <x:c r="E274" s="189" t="n">
        <x:f>IF(G274="definiert",'Stationen Abfrage dataprocessor'!$E$58,"")</x:f>
        <x:v>45930</x:v>
      </x:c>
      <x:c r="F274" s="189" t="n">
        <x:f>IF(G274="definiert",'Stationen Abfrage dataprocessor'!$H$58+1,"")</x:f>
        <x:v>46204</x:v>
      </x:c>
      <x:c r="G274" s="182" t="str">
        <x:f>IF(D274="nein","nicht_anwendbar",IF(D274&lt;&gt;"ja","Konfiguration fehlt",IF(OR(NOT(ISNUMBER('Stationen Abfrage dataprocessor'!$E$58)),NOT(ISNUMBER('Stationen Abfrage dataprocessor'!$H$58))),"Konfiguration fehlt",IF(('Stationen Abfrage dataprocessor'!$H$58+1)&lt;=('Stationen Abfrage dataprocessor'!$E$58),"kein_beobachtetes_fenster","definiert"))))</x:f>
        <x:v>definiert</x:v>
      </x:c>
      <x:c r="H274" s="182" t="str">
        <x:v>ja</x:v>
      </x:c>
      <x:c r="I274" s="182" t="str">
        <x:v>nein</x:v>
      </x:c>
      <x:c r="J274" s="182" t="str">
        <x:f>"nicht Voraussetzung"</x:f>
        <x:v>nicht Voraussetzung</x:v>
      </x:c>
      <x:c r="K274" s="190" t="n">
        <x:f>IF(G274="definiert",F274-E274,"")</x:f>
        <x:v>274</x:v>
      </x:c>
      <x:c r="L274" s="182" t="n">
        <x:v>58</x:v>
      </x:c>
      <x:c r="M274" s="182" t="str">
        <x:f>IF('Stationen Abfrage dataprocessor'!$K$58="","",'Stationen Abfrage dataprocessor'!$K$58)</x:f>
      </x:c>
      <x:c r="N274" s="182" t="str">
        <x:f>Definitionen!$B$2</x:f>
        <x:v>IP-COHORT-2026-10-28-01</x:v>
      </x:c>
    </x:row>
    <x:row r="275" ht="30" customHeight="1">
      <x:c r="A275" s="182" t="str">
        <x:f>'Stationen Abfrage dataprocessor'!$A$59</x:f>
        <x:v>UKSH Kiel</x:v>
      </x:c>
      <x:c r="B275" s="182" t="str">
        <x:f>'Stationen Abfrage dataprocessor'!$D$59</x:f>
        <x:v>C310 Herzchirurgie</x:v>
      </x:c>
      <x:c r="C275" s="182" t="str">
        <x:v>BS</x:v>
      </x:c>
      <x:c r="D275" s="182" t="str">
        <x:f>'Stationen Abfrage dataprocessor'!$M$59</x:f>
        <x:v>ja</x:v>
      </x:c>
      <x:c r="E275" s="189" t="n">
        <x:f>IF(G275="definiert",'Stationen Abfrage dataprocessor'!$E$59,"")</x:f>
        <x:v>45930</x:v>
      </x:c>
      <x:c r="F275" s="189" t="n">
        <x:f>IF(G275="definiert",IF('Stationen Abfrage dataprocessor'!$T$59="Studienende",'Stationen Abfrage dataprocessor'!$H$59+1,MIN('Stationen Abfrage dataprocessor'!$F$59,'Stationen Abfrage dataprocessor'!$H$59+1)),"")</x:f>
        <x:v>46059</x:v>
      </x:c>
      <x:c r="G275" s="182" t="str">
        <x:f>IF(D275="nein","nicht_anwendbar",IF(D275&lt;&gt;"ja","Konfiguration fehlt",IF(OR(NOT(ISNUMBER('Stationen Abfrage dataprocessor'!$E$59)),NOT(ISNUMBER('Stationen Abfrage dataprocessor'!$H$59)),AND('Stationen Abfrage dataprocessor'!$T$59&lt;&gt;"Phasengrenze",'Stationen Abfrage dataprocessor'!$T$59&lt;&gt;"Studienende"),AND('Stationen Abfrage dataprocessor'!$T$59="Phasengrenze",NOT(ISNUMBER('Stationen Abfrage dataprocessor'!$F$59)))),"Konfiguration fehlt",IF((IF('Stationen Abfrage dataprocessor'!$T$59="Studienende",'Stationen Abfrage dataprocessor'!$H$59+1,MIN('Stationen Abfrage dataprocessor'!$F$59,'Stationen Abfrage dataprocessor'!$H$59+1)))&lt;=('Stationen Abfrage dataprocessor'!$E$59),"kein_beobachtetes_fenster","definiert"))))</x:f>
        <x:v>definiert</x:v>
      </x:c>
      <x:c r="H275" s="182" t="str">
        <x:v>nein</x:v>
      </x:c>
      <x:c r="I275" s="182" t="str">
        <x:v>nein</x:v>
      </x:c>
      <x:c r="J275" s="182" t="str">
        <x:f>"nicht Voraussetzung"</x:f>
        <x:v>nicht Voraussetzung</x:v>
      </x:c>
      <x:c r="K275" s="190" t="n">
        <x:f>IF(G275="definiert",F275-E275,"")</x:f>
        <x:v>129</x:v>
      </x:c>
      <x:c r="L275" s="182" t="n">
        <x:v>59</x:v>
      </x:c>
      <x:c r="M275" s="182" t="str">
        <x:f>IF('Stationen Abfrage dataprocessor'!$K$59="","",'Stationen Abfrage dataprocessor'!$K$59)</x:f>
      </x:c>
      <x:c r="N275" s="182" t="str">
        <x:f>Definitionen!$B$2</x:f>
        <x:v>IP-COHORT-2026-10-28-01</x:v>
      </x:c>
    </x:row>
    <x:row r="276" ht="30" customHeight="1">
      <x:c r="A276" s="182" t="str">
        <x:f>'Stationen Abfrage dataprocessor'!$A$59</x:f>
        <x:v>UKSH Kiel</x:v>
      </x:c>
      <x:c r="B276" s="182" t="str">
        <x:f>'Stationen Abfrage dataprocessor'!$D$59</x:f>
        <x:v>C310 Herzchirurgie</x:v>
      </x:c>
      <x:c r="C276" s="182" t="str">
        <x:v>CRS-A</x:v>
      </x:c>
      <x:c r="D276" s="182" t="str">
        <x:f>'Stationen Abfrage dataprocessor'!$N$59</x:f>
        <x:v>ja</x:v>
      </x:c>
      <x:c r="E276" s="189" t="n">
        <x:f>IF(G276="definiert",MAX('Stationen Abfrage dataprocessor'!$E$59,'Stationen Abfrage dataprocessor'!$F$59),"")</x:f>
        <x:v>46059</x:v>
      </x:c>
      <x:c r="F276" s="189" t="n">
        <x:f>IF(G276="definiert",MIN('Stationen Abfrage dataprocessor'!$G$59,'Stationen Abfrage dataprocessor'!$H$59+1),"")</x:f>
        <x:v>46087</x:v>
      </x:c>
      <x:c r="G276" s="182" t="str">
        <x:f>IF(D276="nein","nicht_anwendbar",IF(D276&lt;&gt;"ja","Konfiguration fehlt",IF(OR(NOT(ISNUMBER('Stationen Abfrage dataprocessor'!$E$59)),NOT(ISNUMBER('Stationen Abfrage dataprocessor'!$F$59)),NOT(ISNUMBER('Stationen Abfrage dataprocessor'!$G$59)),NOT(ISNUMBER('Stationen Abfrage dataprocessor'!$H$59))),"Konfiguration fehlt",IF((MIN('Stationen Abfrage dataprocessor'!$G$59,'Stationen Abfrage dataprocessor'!$H$59+1))&lt;=(MAX('Stationen Abfrage dataprocessor'!$E$59,'Stationen Abfrage dataprocessor'!$F$59)),"kein_beobachtetes_fenster","definiert"))))</x:f>
        <x:v>definiert</x:v>
      </x:c>
      <x:c r="H276" s="182" t="str">
        <x:v>nein</x:v>
      </x:c>
      <x:c r="I276" s="182" t="str">
        <x:v>nein</x:v>
      </x:c>
      <x:c r="J276" s="182" t="str">
        <x:f>"nicht Voraussetzung"</x:f>
        <x:v>nicht Voraussetzung</x:v>
      </x:c>
      <x:c r="K276" s="190" t="n">
        <x:f>IF(G276="definiert",F276-E276,"")</x:f>
        <x:v>28</x:v>
      </x:c>
      <x:c r="L276" s="182" t="n">
        <x:v>59</x:v>
      </x:c>
      <x:c r="M276" s="182" t="str">
        <x:f>IF('Stationen Abfrage dataprocessor'!$K$59="","",'Stationen Abfrage dataprocessor'!$K$59)</x:f>
      </x:c>
      <x:c r="N276" s="182" t="str">
        <x:f>Definitionen!$B$2</x:f>
        <x:v>IP-COHORT-2026-10-28-01</x:v>
      </x:c>
    </x:row>
    <x:row r="277" ht="30" customHeight="1">
      <x:c r="A277" s="182" t="str">
        <x:f>'Stationen Abfrage dataprocessor'!$A$59</x:f>
        <x:v>UKSH Kiel</x:v>
      </x:c>
      <x:c r="B277" s="182" t="str">
        <x:f>'Stationen Abfrage dataprocessor'!$D$59</x:f>
        <x:v>C310 Herzchirurgie</x:v>
      </x:c>
      <x:c r="C277" s="182" t="str">
        <x:v>CRS-B</x:v>
      </x:c>
      <x:c r="D277" s="182" t="str">
        <x:f>'Stationen Abfrage dataprocessor'!$O$59</x:f>
        <x:v>ja</x:v>
      </x:c>
      <x:c r="E277" s="189" t="n">
        <x:f>IF(G277="definiert",MAX('Stationen Abfrage dataprocessor'!$E$59,'Stationen Abfrage dataprocessor'!$G$59),"")</x:f>
        <x:v>46087</x:v>
      </x:c>
      <x:c r="F277" s="189" t="n">
        <x:f>IF(G277="definiert",'Stationen Abfrage dataprocessor'!$H$59+1,"")</x:f>
        <x:v>46204</x:v>
      </x:c>
      <x:c r="G277" s="182" t="str">
        <x:f>IF(D277="nein","nicht_anwendbar",IF(D277&lt;&gt;"ja","Konfiguration fehlt",IF(OR(NOT(ISNUMBER('Stationen Abfrage dataprocessor'!$E$59)),NOT(ISNUMBER('Stationen Abfrage dataprocessor'!$G$59)),NOT(ISNUMBER('Stationen Abfrage dataprocessor'!$H$59))),"Konfiguration fehlt",IF(('Stationen Abfrage dataprocessor'!$H$59+1)&lt;=(MAX('Stationen Abfrage dataprocessor'!$E$59,'Stationen Abfrage dataprocessor'!$G$59)),"kein_beobachtetes_fenster","definiert"))))</x:f>
        <x:v>definiert</x:v>
      </x:c>
      <x:c r="H277" s="182" t="str">
        <x:v>nein</x:v>
      </x:c>
      <x:c r="I277" s="182" t="str">
        <x:v>nein</x:v>
      </x:c>
      <x:c r="J277" s="182" t="str">
        <x:f>'Stationen Abfrage dataprocessor'!$S$59</x:f>
        <x:v>fallbezogen prüfen</x:v>
      </x:c>
      <x:c r="K277" s="190" t="n">
        <x:f>IF(G277="definiert",F277-E277,"")</x:f>
        <x:v>117</x:v>
      </x:c>
      <x:c r="L277" s="182" t="n">
        <x:v>59</x:v>
      </x:c>
      <x:c r="M277" s="182" t="str">
        <x:f>IF('Stationen Abfrage dataprocessor'!$K$59="","",'Stationen Abfrage dataprocessor'!$K$59)</x:f>
      </x:c>
      <x:c r="N277" s="182" t="str">
        <x:f>Definitionen!$B$2</x:f>
        <x:v>IP-COHORT-2026-10-28-01</x:v>
      </x:c>
    </x:row>
    <x:row r="278" ht="30" customHeight="1">
      <x:c r="A278" s="182" t="str">
        <x:f>'Stationen Abfrage dataprocessor'!$A$59</x:f>
        <x:v>UKSH Kiel</x:v>
      </x:c>
      <x:c r="B278" s="182" t="str">
        <x:f>'Stationen Abfrage dataprocessor'!$D$59</x:f>
        <x:v>C310 Herzchirurgie</x:v>
      </x:c>
      <x:c r="C278" s="182" t="str">
        <x:v>RES</x:v>
      </x:c>
      <x:c r="D278" s="182" t="str">
        <x:f>'Stationen Abfrage dataprocessor'!$P$59</x:f>
        <x:v>ja</x:v>
      </x:c>
      <x:c r="E278" s="189" t="n">
        <x:f>IF(G278="definiert",MAX('Stationen Abfrage dataprocessor'!$E$59,'Stationen Abfrage dataprocessor'!$G$59),"")</x:f>
        <x:v>46087</x:v>
      </x:c>
      <x:c r="F278" s="189" t="n">
        <x:f>IF(G278="definiert",'Stationen Abfrage dataprocessor'!$H$59+1,"")</x:f>
        <x:v>46204</x:v>
      </x:c>
      <x:c r="G278" s="182" t="str">
        <x:f>IF(D278="nein","nicht_anwendbar",IF(D278&lt;&gt;"ja","Konfiguration fehlt",IF(OR(NOT(ISNUMBER('Stationen Abfrage dataprocessor'!$E$59)),NOT(ISNUMBER('Stationen Abfrage dataprocessor'!$G$59)),NOT(ISNUMBER('Stationen Abfrage dataprocessor'!$H$59))),"Konfiguration fehlt",IF(('Stationen Abfrage dataprocessor'!$H$59+1)&lt;=(MAX('Stationen Abfrage dataprocessor'!$E$59,'Stationen Abfrage dataprocessor'!$G$59)),"kein_beobachtetes_fenster","definiert"))))</x:f>
        <x:v>definiert</x:v>
      </x:c>
      <x:c r="H278" s="182" t="str">
        <x:v>ja</x:v>
      </x:c>
      <x:c r="I278" s="182" t="str">
        <x:v>ja</x:v>
      </x:c>
      <x:c r="J278" s="182" t="str">
        <x:f>'Stationen Abfrage dataprocessor'!$S$59</x:f>
        <x:v>fallbezogen prüfen</x:v>
      </x:c>
      <x:c r="K278" s="190" t="n">
        <x:f>IF(G278="definiert",F278-E278,"")</x:f>
        <x:v>117</x:v>
      </x:c>
      <x:c r="L278" s="182" t="n">
        <x:v>59</x:v>
      </x:c>
      <x:c r="M278" s="182" t="str">
        <x:f>IF('Stationen Abfrage dataprocessor'!$K$59="","",'Stationen Abfrage dataprocessor'!$K$59)</x:f>
      </x:c>
      <x:c r="N278" s="182" t="str">
        <x:f>Definitionen!$B$2</x:f>
        <x:v>IP-COHORT-2026-10-28-01</x:v>
      </x:c>
    </x:row>
    <x:row r="279" ht="30" customHeight="1">
      <x:c r="A279" s="182" t="str">
        <x:f>'Stationen Abfrage dataprocessor'!$A$59</x:f>
        <x:v>UKSH Kiel</x:v>
      </x:c>
      <x:c r="B279" s="182" t="str">
        <x:f>'Stationen Abfrage dataprocessor'!$D$59</x:f>
        <x:v>C310 Herzchirurgie</x:v>
      </x:c>
      <x:c r="C279" s="182" t="str">
        <x:v>TRS</x:v>
      </x:c>
      <x:c r="D279" s="182" t="str">
        <x:f>'Stationen Abfrage dataprocessor'!$Q$59</x:f>
        <x:v>ja</x:v>
      </x:c>
      <x:c r="E279" s="189" t="n">
        <x:f>IF(G279="definiert",'Stationen Abfrage dataprocessor'!$E$59,"")</x:f>
        <x:v>45930</x:v>
      </x:c>
      <x:c r="F279" s="189" t="n">
        <x:f>IF(G279="definiert",'Stationen Abfrage dataprocessor'!$H$59+1,"")</x:f>
        <x:v>46204</x:v>
      </x:c>
      <x:c r="G279" s="182" t="str">
        <x:f>IF(D279="nein","nicht_anwendbar",IF(D279&lt;&gt;"ja","Konfiguration fehlt",IF(OR(NOT(ISNUMBER('Stationen Abfrage dataprocessor'!$E$59)),NOT(ISNUMBER('Stationen Abfrage dataprocessor'!$H$59))),"Konfiguration fehlt",IF(('Stationen Abfrage dataprocessor'!$H$59+1)&lt;=('Stationen Abfrage dataprocessor'!$E$59),"kein_beobachtetes_fenster","definiert"))))</x:f>
        <x:v>definiert</x:v>
      </x:c>
      <x:c r="H279" s="182" t="str">
        <x:v>ja</x:v>
      </x:c>
      <x:c r="I279" s="182" t="str">
        <x:v>nein</x:v>
      </x:c>
      <x:c r="J279" s="182" t="str">
        <x:f>"nicht Voraussetzung"</x:f>
        <x:v>nicht Voraussetzung</x:v>
      </x:c>
      <x:c r="K279" s="190" t="n">
        <x:f>IF(G279="definiert",F279-E279,"")</x:f>
        <x:v>274</x:v>
      </x:c>
      <x:c r="L279" s="182" t="n">
        <x:v>59</x:v>
      </x:c>
      <x:c r="M279" s="182" t="str">
        <x:f>IF('Stationen Abfrage dataprocessor'!$K$59="","",'Stationen Abfrage dataprocessor'!$K$59)</x:f>
      </x:c>
      <x:c r="N279" s="182" t="str">
        <x:f>Definitionen!$B$2</x:f>
        <x:v>IP-COHORT-2026-10-28-01</x:v>
      </x:c>
    </x:row>
    <x:row r="280" ht="30" customHeight="1">
      <x:c r="A280" s="182" t="str">
        <x:f>'Stationen Abfrage dataprocessor'!$A$60</x:f>
        <x:v>UKSH Kiel</x:v>
      </x:c>
      <x:c r="B280" s="182" t="str">
        <x:f>'Stationen Abfrage dataprocessor'!$D$60</x:f>
        <x:v>C312 Innere Med IV</x:v>
      </x:c>
      <x:c r="C280" s="182" t="str">
        <x:v>BS</x:v>
      </x:c>
      <x:c r="D280" s="182" t="str">
        <x:f>'Stationen Abfrage dataprocessor'!$M$60</x:f>
        <x:v>ja</x:v>
      </x:c>
      <x:c r="E280" s="189" t="n">
        <x:f>IF(G280="definiert",'Stationen Abfrage dataprocessor'!$E$60,"")</x:f>
        <x:v>45930</x:v>
      </x:c>
      <x:c r="F280" s="189" t="n">
        <x:f>IF(G280="definiert",IF('Stationen Abfrage dataprocessor'!$T$60="Studienende",'Stationen Abfrage dataprocessor'!$H$60+1,MIN('Stationen Abfrage dataprocessor'!$F$60,'Stationen Abfrage dataprocessor'!$H$60+1)),"")</x:f>
        <x:v>46059</x:v>
      </x:c>
      <x:c r="G280" s="182" t="str">
        <x:f>IF(D280="nein","nicht_anwendbar",IF(D280&lt;&gt;"ja","Konfiguration fehlt",IF(OR(NOT(ISNUMBER('Stationen Abfrage dataprocessor'!$E$60)),NOT(ISNUMBER('Stationen Abfrage dataprocessor'!$H$60)),AND('Stationen Abfrage dataprocessor'!$T$60&lt;&gt;"Phasengrenze",'Stationen Abfrage dataprocessor'!$T$60&lt;&gt;"Studienende"),AND('Stationen Abfrage dataprocessor'!$T$60="Phasengrenze",NOT(ISNUMBER('Stationen Abfrage dataprocessor'!$F$60)))),"Konfiguration fehlt",IF((IF('Stationen Abfrage dataprocessor'!$T$60="Studienende",'Stationen Abfrage dataprocessor'!$H$60+1,MIN('Stationen Abfrage dataprocessor'!$F$60,'Stationen Abfrage dataprocessor'!$H$60+1)))&lt;=('Stationen Abfrage dataprocessor'!$E$60),"kein_beobachtetes_fenster","definiert"))))</x:f>
        <x:v>definiert</x:v>
      </x:c>
      <x:c r="H280" s="182" t="str">
        <x:v>nein</x:v>
      </x:c>
      <x:c r="I280" s="182" t="str">
        <x:v>nein</x:v>
      </x:c>
      <x:c r="J280" s="182" t="str">
        <x:f>"nicht Voraussetzung"</x:f>
        <x:v>nicht Voraussetzung</x:v>
      </x:c>
      <x:c r="K280" s="190" t="n">
        <x:f>IF(G280="definiert",F280-E280,"")</x:f>
        <x:v>129</x:v>
      </x:c>
      <x:c r="L280" s="182" t="n">
        <x:v>60</x:v>
      </x:c>
      <x:c r="M280" s="182" t="str">
        <x:f>IF('Stationen Abfrage dataprocessor'!$K$60="","",'Stationen Abfrage dataprocessor'!$K$60)</x:f>
      </x:c>
      <x:c r="N280" s="182" t="str">
        <x:f>Definitionen!$B$2</x:f>
        <x:v>IP-COHORT-2026-10-28-01</x:v>
      </x:c>
    </x:row>
    <x:row r="281" ht="30" customHeight="1">
      <x:c r="A281" s="182" t="str">
        <x:f>'Stationen Abfrage dataprocessor'!$A$60</x:f>
        <x:v>UKSH Kiel</x:v>
      </x:c>
      <x:c r="B281" s="182" t="str">
        <x:f>'Stationen Abfrage dataprocessor'!$D$60</x:f>
        <x:v>C312 Innere Med IV</x:v>
      </x:c>
      <x:c r="C281" s="182" t="str">
        <x:v>CRS-A</x:v>
      </x:c>
      <x:c r="D281" s="182" t="str">
        <x:f>'Stationen Abfrage dataprocessor'!$N$60</x:f>
        <x:v>ja</x:v>
      </x:c>
      <x:c r="E281" s="189" t="n">
        <x:f>IF(G281="definiert",MAX('Stationen Abfrage dataprocessor'!$E$60,'Stationen Abfrage dataprocessor'!$F$60),"")</x:f>
        <x:v>46059</x:v>
      </x:c>
      <x:c r="F281" s="189" t="n">
        <x:f>IF(G281="definiert",MIN('Stationen Abfrage dataprocessor'!$G$60,'Stationen Abfrage dataprocessor'!$H$60+1),"")</x:f>
        <x:v>46115</x:v>
      </x:c>
      <x:c r="G281" s="182" t="str">
        <x:f>IF(D281="nein","nicht_anwendbar",IF(D281&lt;&gt;"ja","Konfiguration fehlt",IF(OR(NOT(ISNUMBER('Stationen Abfrage dataprocessor'!$E$60)),NOT(ISNUMBER('Stationen Abfrage dataprocessor'!$F$60)),NOT(ISNUMBER('Stationen Abfrage dataprocessor'!$G$60)),NOT(ISNUMBER('Stationen Abfrage dataprocessor'!$H$60))),"Konfiguration fehlt",IF((MIN('Stationen Abfrage dataprocessor'!$G$60,'Stationen Abfrage dataprocessor'!$H$60+1))&lt;=(MAX('Stationen Abfrage dataprocessor'!$E$60,'Stationen Abfrage dataprocessor'!$F$60)),"kein_beobachtetes_fenster","definiert"))))</x:f>
        <x:v>definiert</x:v>
      </x:c>
      <x:c r="H281" s="182" t="str">
        <x:v>nein</x:v>
      </x:c>
      <x:c r="I281" s="182" t="str">
        <x:v>nein</x:v>
      </x:c>
      <x:c r="J281" s="182" t="str">
        <x:f>"nicht Voraussetzung"</x:f>
        <x:v>nicht Voraussetzung</x:v>
      </x:c>
      <x:c r="K281" s="190" t="n">
        <x:f>IF(G281="definiert",F281-E281,"")</x:f>
        <x:v>56</x:v>
      </x:c>
      <x:c r="L281" s="182" t="n">
        <x:v>60</x:v>
      </x:c>
      <x:c r="M281" s="182" t="str">
        <x:f>IF('Stationen Abfrage dataprocessor'!$K$60="","",'Stationen Abfrage dataprocessor'!$K$60)</x:f>
      </x:c>
      <x:c r="N281" s="182" t="str">
        <x:f>Definitionen!$B$2</x:f>
        <x:v>IP-COHORT-2026-10-28-01</x:v>
      </x:c>
    </x:row>
    <x:row r="282" ht="30" customHeight="1">
      <x:c r="A282" s="182" t="str">
        <x:f>'Stationen Abfrage dataprocessor'!$A$60</x:f>
        <x:v>UKSH Kiel</x:v>
      </x:c>
      <x:c r="B282" s="182" t="str">
        <x:f>'Stationen Abfrage dataprocessor'!$D$60</x:f>
        <x:v>C312 Innere Med IV</x:v>
      </x:c>
      <x:c r="C282" s="182" t="str">
        <x:v>CRS-B</x:v>
      </x:c>
      <x:c r="D282" s="182" t="str">
        <x:f>'Stationen Abfrage dataprocessor'!$O$60</x:f>
        <x:v>ja</x:v>
      </x:c>
      <x:c r="E282" s="189" t="n">
        <x:f>IF(G282="definiert",MAX('Stationen Abfrage dataprocessor'!$E$60,'Stationen Abfrage dataprocessor'!$G$60),"")</x:f>
        <x:v>46115</x:v>
      </x:c>
      <x:c r="F282" s="189" t="n">
        <x:f>IF(G282="definiert",'Stationen Abfrage dataprocessor'!$H$60+1,"")</x:f>
        <x:v>46204</x:v>
      </x:c>
      <x:c r="G282" s="182" t="str">
        <x:f>IF(D282="nein","nicht_anwendbar",IF(D282&lt;&gt;"ja","Konfiguration fehlt",IF(OR(NOT(ISNUMBER('Stationen Abfrage dataprocessor'!$E$60)),NOT(ISNUMBER('Stationen Abfrage dataprocessor'!$G$60)),NOT(ISNUMBER('Stationen Abfrage dataprocessor'!$H$60))),"Konfiguration fehlt",IF(('Stationen Abfrage dataprocessor'!$H$60+1)&lt;=(MAX('Stationen Abfrage dataprocessor'!$E$60,'Stationen Abfrage dataprocessor'!$G$60)),"kein_beobachtetes_fenster","definiert"))))</x:f>
        <x:v>definiert</x:v>
      </x:c>
      <x:c r="H282" s="182" t="str">
        <x:v>nein</x:v>
      </x:c>
      <x:c r="I282" s="182" t="str">
        <x:v>nein</x:v>
      </x:c>
      <x:c r="J282" s="182" t="str">
        <x:f>'Stationen Abfrage dataprocessor'!$S$60</x:f>
        <x:v>fallbezogen prüfen</x:v>
      </x:c>
      <x:c r="K282" s="190" t="n">
        <x:f>IF(G282="definiert",F282-E282,"")</x:f>
        <x:v>89</x:v>
      </x:c>
      <x:c r="L282" s="182" t="n">
        <x:v>60</x:v>
      </x:c>
      <x:c r="M282" s="182" t="str">
        <x:f>IF('Stationen Abfrage dataprocessor'!$K$60="","",'Stationen Abfrage dataprocessor'!$K$60)</x:f>
      </x:c>
      <x:c r="N282" s="182" t="str">
        <x:f>Definitionen!$B$2</x:f>
        <x:v>IP-COHORT-2026-10-28-01</x:v>
      </x:c>
    </x:row>
    <x:row r="283" ht="30" customHeight="1">
      <x:c r="A283" s="182" t="str">
        <x:f>'Stationen Abfrage dataprocessor'!$A$60</x:f>
        <x:v>UKSH Kiel</x:v>
      </x:c>
      <x:c r="B283" s="182" t="str">
        <x:f>'Stationen Abfrage dataprocessor'!$D$60</x:f>
        <x:v>C312 Innere Med IV</x:v>
      </x:c>
      <x:c r="C283" s="182" t="str">
        <x:v>RES</x:v>
      </x:c>
      <x:c r="D283" s="182" t="str">
        <x:f>'Stationen Abfrage dataprocessor'!$P$60</x:f>
        <x:v>ja</x:v>
      </x:c>
      <x:c r="E283" s="189" t="n">
        <x:f>IF(G283="definiert",MAX('Stationen Abfrage dataprocessor'!$E$60,'Stationen Abfrage dataprocessor'!$G$60),"")</x:f>
        <x:v>46115</x:v>
      </x:c>
      <x:c r="F283" s="189" t="n">
        <x:f>IF(G283="definiert",'Stationen Abfrage dataprocessor'!$H$60+1,"")</x:f>
        <x:v>46204</x:v>
      </x:c>
      <x:c r="G283" s="182" t="str">
        <x:f>IF(D283="nein","nicht_anwendbar",IF(D283&lt;&gt;"ja","Konfiguration fehlt",IF(OR(NOT(ISNUMBER('Stationen Abfrage dataprocessor'!$E$60)),NOT(ISNUMBER('Stationen Abfrage dataprocessor'!$G$60)),NOT(ISNUMBER('Stationen Abfrage dataprocessor'!$H$60))),"Konfiguration fehlt",IF(('Stationen Abfrage dataprocessor'!$H$60+1)&lt;=(MAX('Stationen Abfrage dataprocessor'!$E$60,'Stationen Abfrage dataprocessor'!$G$60)),"kein_beobachtetes_fenster","definiert"))))</x:f>
        <x:v>definiert</x:v>
      </x:c>
      <x:c r="H283" s="182" t="str">
        <x:v>ja</x:v>
      </x:c>
      <x:c r="I283" s="182" t="str">
        <x:v>ja</x:v>
      </x:c>
      <x:c r="J283" s="182" t="str">
        <x:f>'Stationen Abfrage dataprocessor'!$S$60</x:f>
        <x:v>fallbezogen prüfen</x:v>
      </x:c>
      <x:c r="K283" s="190" t="n">
        <x:f>IF(G283="definiert",F283-E283,"")</x:f>
        <x:v>89</x:v>
      </x:c>
      <x:c r="L283" s="182" t="n">
        <x:v>60</x:v>
      </x:c>
      <x:c r="M283" s="182" t="str">
        <x:f>IF('Stationen Abfrage dataprocessor'!$K$60="","",'Stationen Abfrage dataprocessor'!$K$60)</x:f>
      </x:c>
      <x:c r="N283" s="182" t="str">
        <x:f>Definitionen!$B$2</x:f>
        <x:v>IP-COHORT-2026-10-28-01</x:v>
      </x:c>
    </x:row>
    <x:row r="284" ht="30" customHeight="1">
      <x:c r="A284" s="182" t="str">
        <x:f>'Stationen Abfrage dataprocessor'!$A$60</x:f>
        <x:v>UKSH Kiel</x:v>
      </x:c>
      <x:c r="B284" s="182" t="str">
        <x:f>'Stationen Abfrage dataprocessor'!$D$60</x:f>
        <x:v>C312 Innere Med IV</x:v>
      </x:c>
      <x:c r="C284" s="182" t="str">
        <x:v>TRS</x:v>
      </x:c>
      <x:c r="D284" s="182" t="str">
        <x:f>'Stationen Abfrage dataprocessor'!$Q$60</x:f>
        <x:v>ja</x:v>
      </x:c>
      <x:c r="E284" s="189" t="n">
        <x:f>IF(G284="definiert",'Stationen Abfrage dataprocessor'!$E$60,"")</x:f>
        <x:v>45930</x:v>
      </x:c>
      <x:c r="F284" s="189" t="n">
        <x:f>IF(G284="definiert",'Stationen Abfrage dataprocessor'!$H$60+1,"")</x:f>
        <x:v>46204</x:v>
      </x:c>
      <x:c r="G284" s="182" t="str">
        <x:f>IF(D284="nein","nicht_anwendbar",IF(D284&lt;&gt;"ja","Konfiguration fehlt",IF(OR(NOT(ISNUMBER('Stationen Abfrage dataprocessor'!$E$60)),NOT(ISNUMBER('Stationen Abfrage dataprocessor'!$H$60))),"Konfiguration fehlt",IF(('Stationen Abfrage dataprocessor'!$H$60+1)&lt;=('Stationen Abfrage dataprocessor'!$E$60),"kein_beobachtetes_fenster","definiert"))))</x:f>
        <x:v>definiert</x:v>
      </x:c>
      <x:c r="H284" s="182" t="str">
        <x:v>ja</x:v>
      </x:c>
      <x:c r="I284" s="182" t="str">
        <x:v>nein</x:v>
      </x:c>
      <x:c r="J284" s="182" t="str">
        <x:f>"nicht Voraussetzung"</x:f>
        <x:v>nicht Voraussetzung</x:v>
      </x:c>
      <x:c r="K284" s="190" t="n">
        <x:f>IF(G284="definiert",F284-E284,"")</x:f>
        <x:v>274</x:v>
      </x:c>
      <x:c r="L284" s="182" t="n">
        <x:v>60</x:v>
      </x:c>
      <x:c r="M284" s="182" t="str">
        <x:f>IF('Stationen Abfrage dataprocessor'!$K$60="","",'Stationen Abfrage dataprocessor'!$K$60)</x:f>
      </x:c>
      <x:c r="N284" s="182" t="str">
        <x:f>Definitionen!$B$2</x:f>
        <x:v>IP-COHORT-2026-10-28-01</x:v>
      </x:c>
    </x:row>
    <x:row r="285" ht="30" customHeight="1">
      <x:c r="A285" s="182" t="str">
        <x:f>'Stationen Abfrage dataprocessor'!$A$61</x:f>
        <x:v>UKSH Kiel</x:v>
      </x:c>
      <x:c r="B285" s="182" t="str">
        <x:f>'Stationen Abfrage dataprocessor'!$D$61</x:f>
        <x:v>D110 Neurologie</x:v>
      </x:c>
      <x:c r="C285" s="182" t="str">
        <x:v>BS</x:v>
      </x:c>
      <x:c r="D285" s="182" t="str">
        <x:f>'Stationen Abfrage dataprocessor'!$M$61</x:f>
        <x:v>ja</x:v>
      </x:c>
      <x:c r="E285" s="189" t="n">
        <x:f>IF(G285="definiert",'Stationen Abfrage dataprocessor'!$E$61,"")</x:f>
        <x:v>45930</x:v>
      </x:c>
      <x:c r="F285" s="189" t="n">
        <x:f>IF(G285="definiert",IF('Stationen Abfrage dataprocessor'!$T$61="Studienende",'Stationen Abfrage dataprocessor'!$H$61+1,MIN('Stationen Abfrage dataprocessor'!$F$61,'Stationen Abfrage dataprocessor'!$H$61+1)),"")</x:f>
        <x:v>46059</x:v>
      </x:c>
      <x:c r="G285" s="182" t="str">
        <x:f>IF(D285="nein","nicht_anwendbar",IF(D285&lt;&gt;"ja","Konfiguration fehlt",IF(OR(NOT(ISNUMBER('Stationen Abfrage dataprocessor'!$E$61)),NOT(ISNUMBER('Stationen Abfrage dataprocessor'!$H$61)),AND('Stationen Abfrage dataprocessor'!$T$61&lt;&gt;"Phasengrenze",'Stationen Abfrage dataprocessor'!$T$61&lt;&gt;"Studienende"),AND('Stationen Abfrage dataprocessor'!$T$61="Phasengrenze",NOT(ISNUMBER('Stationen Abfrage dataprocessor'!$F$61)))),"Konfiguration fehlt",IF((IF('Stationen Abfrage dataprocessor'!$T$61="Studienende",'Stationen Abfrage dataprocessor'!$H$61+1,MIN('Stationen Abfrage dataprocessor'!$F$61,'Stationen Abfrage dataprocessor'!$H$61+1)))&lt;=('Stationen Abfrage dataprocessor'!$E$61),"kein_beobachtetes_fenster","definiert"))))</x:f>
        <x:v>definiert</x:v>
      </x:c>
      <x:c r="H285" s="182" t="str">
        <x:v>nein</x:v>
      </x:c>
      <x:c r="I285" s="182" t="str">
        <x:v>nein</x:v>
      </x:c>
      <x:c r="J285" s="182" t="str">
        <x:f>"nicht Voraussetzung"</x:f>
        <x:v>nicht Voraussetzung</x:v>
      </x:c>
      <x:c r="K285" s="190" t="n">
        <x:f>IF(G285="definiert",F285-E285,"")</x:f>
        <x:v>129</x:v>
      </x:c>
      <x:c r="L285" s="182" t="n">
        <x:v>61</x:v>
      </x:c>
      <x:c r="M285" s="182" t="str">
        <x:f>IF('Stationen Abfrage dataprocessor'!$K$61="","",'Stationen Abfrage dataprocessor'!$K$61)</x:f>
      </x:c>
      <x:c r="N285" s="182" t="str">
        <x:f>Definitionen!$B$2</x:f>
        <x:v>IP-COHORT-2026-10-28-01</x:v>
      </x:c>
    </x:row>
    <x:row r="286" ht="30" customHeight="1">
      <x:c r="A286" s="182" t="str">
        <x:f>'Stationen Abfrage dataprocessor'!$A$61</x:f>
        <x:v>UKSH Kiel</x:v>
      </x:c>
      <x:c r="B286" s="182" t="str">
        <x:f>'Stationen Abfrage dataprocessor'!$D$61</x:f>
        <x:v>D110 Neurologie</x:v>
      </x:c>
      <x:c r="C286" s="182" t="str">
        <x:v>CRS-A</x:v>
      </x:c>
      <x:c r="D286" s="182" t="str">
        <x:f>'Stationen Abfrage dataprocessor'!$N$61</x:f>
        <x:v>ja</x:v>
      </x:c>
      <x:c r="E286" s="189" t="n">
        <x:f>IF(G286="definiert",MAX('Stationen Abfrage dataprocessor'!$E$61,'Stationen Abfrage dataprocessor'!$F$61),"")</x:f>
        <x:v>46059</x:v>
      </x:c>
      <x:c r="F286" s="189" t="n">
        <x:f>IF(G286="definiert",MIN('Stationen Abfrage dataprocessor'!$G$61,'Stationen Abfrage dataprocessor'!$H$61+1),"")</x:f>
        <x:v>46115</x:v>
      </x:c>
      <x:c r="G286" s="182" t="str">
        <x:f>IF(D286="nein","nicht_anwendbar",IF(D286&lt;&gt;"ja","Konfiguration fehlt",IF(OR(NOT(ISNUMBER('Stationen Abfrage dataprocessor'!$E$61)),NOT(ISNUMBER('Stationen Abfrage dataprocessor'!$F$61)),NOT(ISNUMBER('Stationen Abfrage dataprocessor'!$G$61)),NOT(ISNUMBER('Stationen Abfrage dataprocessor'!$H$61))),"Konfiguration fehlt",IF((MIN('Stationen Abfrage dataprocessor'!$G$61,'Stationen Abfrage dataprocessor'!$H$61+1))&lt;=(MAX('Stationen Abfrage dataprocessor'!$E$61,'Stationen Abfrage dataprocessor'!$F$61)),"kein_beobachtetes_fenster","definiert"))))</x:f>
        <x:v>definiert</x:v>
      </x:c>
      <x:c r="H286" s="182" t="str">
        <x:v>nein</x:v>
      </x:c>
      <x:c r="I286" s="182" t="str">
        <x:v>nein</x:v>
      </x:c>
      <x:c r="J286" s="182" t="str">
        <x:f>"nicht Voraussetzung"</x:f>
        <x:v>nicht Voraussetzung</x:v>
      </x:c>
      <x:c r="K286" s="190" t="n">
        <x:f>IF(G286="definiert",F286-E286,"")</x:f>
        <x:v>56</x:v>
      </x:c>
      <x:c r="L286" s="182" t="n">
        <x:v>61</x:v>
      </x:c>
      <x:c r="M286" s="182" t="str">
        <x:f>IF('Stationen Abfrage dataprocessor'!$K$61="","",'Stationen Abfrage dataprocessor'!$K$61)</x:f>
      </x:c>
      <x:c r="N286" s="182" t="str">
        <x:f>Definitionen!$B$2</x:f>
        <x:v>IP-COHORT-2026-10-28-01</x:v>
      </x:c>
    </x:row>
    <x:row r="287" ht="30" customHeight="1">
      <x:c r="A287" s="182" t="str">
        <x:f>'Stationen Abfrage dataprocessor'!$A$61</x:f>
        <x:v>UKSH Kiel</x:v>
      </x:c>
      <x:c r="B287" s="182" t="str">
        <x:f>'Stationen Abfrage dataprocessor'!$D$61</x:f>
        <x:v>D110 Neurologie</x:v>
      </x:c>
      <x:c r="C287" s="182" t="str">
        <x:v>CRS-B</x:v>
      </x:c>
      <x:c r="D287" s="182" t="str">
        <x:f>'Stationen Abfrage dataprocessor'!$O$61</x:f>
        <x:v>ja</x:v>
      </x:c>
      <x:c r="E287" s="189" t="n">
        <x:f>IF(G287="definiert",MAX('Stationen Abfrage dataprocessor'!$E$61,'Stationen Abfrage dataprocessor'!$G$61),"")</x:f>
        <x:v>46115</x:v>
      </x:c>
      <x:c r="F287" s="189" t="n">
        <x:f>IF(G287="definiert",'Stationen Abfrage dataprocessor'!$H$61+1,"")</x:f>
        <x:v>46204</x:v>
      </x:c>
      <x:c r="G287" s="182" t="str">
        <x:f>IF(D287="nein","nicht_anwendbar",IF(D287&lt;&gt;"ja","Konfiguration fehlt",IF(OR(NOT(ISNUMBER('Stationen Abfrage dataprocessor'!$E$61)),NOT(ISNUMBER('Stationen Abfrage dataprocessor'!$G$61)),NOT(ISNUMBER('Stationen Abfrage dataprocessor'!$H$61))),"Konfiguration fehlt",IF(('Stationen Abfrage dataprocessor'!$H$61+1)&lt;=(MAX('Stationen Abfrage dataprocessor'!$E$61,'Stationen Abfrage dataprocessor'!$G$61)),"kein_beobachtetes_fenster","definiert"))))</x:f>
        <x:v>definiert</x:v>
      </x:c>
      <x:c r="H287" s="182" t="str">
        <x:v>nein</x:v>
      </x:c>
      <x:c r="I287" s="182" t="str">
        <x:v>nein</x:v>
      </x:c>
      <x:c r="J287" s="182" t="str">
        <x:f>'Stationen Abfrage dataprocessor'!$S$61</x:f>
        <x:v>fallbezogen prüfen</x:v>
      </x:c>
      <x:c r="K287" s="190" t="n">
        <x:f>IF(G287="definiert",F287-E287,"")</x:f>
        <x:v>89</x:v>
      </x:c>
      <x:c r="L287" s="182" t="n">
        <x:v>61</x:v>
      </x:c>
      <x:c r="M287" s="182" t="str">
        <x:f>IF('Stationen Abfrage dataprocessor'!$K$61="","",'Stationen Abfrage dataprocessor'!$K$61)</x:f>
      </x:c>
      <x:c r="N287" s="182" t="str">
        <x:f>Definitionen!$B$2</x:f>
        <x:v>IP-COHORT-2026-10-28-01</x:v>
      </x:c>
    </x:row>
    <x:row r="288" ht="30" customHeight="1">
      <x:c r="A288" s="182" t="str">
        <x:f>'Stationen Abfrage dataprocessor'!$A$61</x:f>
        <x:v>UKSH Kiel</x:v>
      </x:c>
      <x:c r="B288" s="182" t="str">
        <x:f>'Stationen Abfrage dataprocessor'!$D$61</x:f>
        <x:v>D110 Neurologie</x:v>
      </x:c>
      <x:c r="C288" s="182" t="str">
        <x:v>RES</x:v>
      </x:c>
      <x:c r="D288" s="182" t="str">
        <x:f>'Stationen Abfrage dataprocessor'!$P$61</x:f>
        <x:v>ja</x:v>
      </x:c>
      <x:c r="E288" s="189" t="n">
        <x:f>IF(G288="definiert",MAX('Stationen Abfrage dataprocessor'!$E$61,'Stationen Abfrage dataprocessor'!$G$61),"")</x:f>
        <x:v>46115</x:v>
      </x:c>
      <x:c r="F288" s="189" t="n">
        <x:f>IF(G288="definiert",'Stationen Abfrage dataprocessor'!$H$61+1,"")</x:f>
        <x:v>46204</x:v>
      </x:c>
      <x:c r="G288" s="182" t="str">
        <x:f>IF(D288="nein","nicht_anwendbar",IF(D288&lt;&gt;"ja","Konfiguration fehlt",IF(OR(NOT(ISNUMBER('Stationen Abfrage dataprocessor'!$E$61)),NOT(ISNUMBER('Stationen Abfrage dataprocessor'!$G$61)),NOT(ISNUMBER('Stationen Abfrage dataprocessor'!$H$61))),"Konfiguration fehlt",IF(('Stationen Abfrage dataprocessor'!$H$61+1)&lt;=(MAX('Stationen Abfrage dataprocessor'!$E$61,'Stationen Abfrage dataprocessor'!$G$61)),"kein_beobachtetes_fenster","definiert"))))</x:f>
        <x:v>definiert</x:v>
      </x:c>
      <x:c r="H288" s="182" t="str">
        <x:v>ja</x:v>
      </x:c>
      <x:c r="I288" s="182" t="str">
        <x:v>ja</x:v>
      </x:c>
      <x:c r="J288" s="182" t="str">
        <x:f>'Stationen Abfrage dataprocessor'!$S$61</x:f>
        <x:v>fallbezogen prüfen</x:v>
      </x:c>
      <x:c r="K288" s="190" t="n">
        <x:f>IF(G288="definiert",F288-E288,"")</x:f>
        <x:v>89</x:v>
      </x:c>
      <x:c r="L288" s="182" t="n">
        <x:v>61</x:v>
      </x:c>
      <x:c r="M288" s="182" t="str">
        <x:f>IF('Stationen Abfrage dataprocessor'!$K$61="","",'Stationen Abfrage dataprocessor'!$K$61)</x:f>
      </x:c>
      <x:c r="N288" s="182" t="str">
        <x:f>Definitionen!$B$2</x:f>
        <x:v>IP-COHORT-2026-10-28-01</x:v>
      </x:c>
    </x:row>
    <x:row r="289" ht="30" customHeight="1">
      <x:c r="A289" s="182" t="str">
        <x:f>'Stationen Abfrage dataprocessor'!$A$61</x:f>
        <x:v>UKSH Kiel</x:v>
      </x:c>
      <x:c r="B289" s="182" t="str">
        <x:f>'Stationen Abfrage dataprocessor'!$D$61</x:f>
        <x:v>D110 Neurologie</x:v>
      </x:c>
      <x:c r="C289" s="182" t="str">
        <x:v>TRS</x:v>
      </x:c>
      <x:c r="D289" s="182" t="str">
        <x:f>'Stationen Abfrage dataprocessor'!$Q$61</x:f>
        <x:v>ja</x:v>
      </x:c>
      <x:c r="E289" s="189" t="n">
        <x:f>IF(G289="definiert",'Stationen Abfrage dataprocessor'!$E$61,"")</x:f>
        <x:v>45930</x:v>
      </x:c>
      <x:c r="F289" s="189" t="n">
        <x:f>IF(G289="definiert",'Stationen Abfrage dataprocessor'!$H$61+1,"")</x:f>
        <x:v>46204</x:v>
      </x:c>
      <x:c r="G289" s="182" t="str">
        <x:f>IF(D289="nein","nicht_anwendbar",IF(D289&lt;&gt;"ja","Konfiguration fehlt",IF(OR(NOT(ISNUMBER('Stationen Abfrage dataprocessor'!$E$61)),NOT(ISNUMBER('Stationen Abfrage dataprocessor'!$H$61))),"Konfiguration fehlt",IF(('Stationen Abfrage dataprocessor'!$H$61+1)&lt;=('Stationen Abfrage dataprocessor'!$E$61),"kein_beobachtetes_fenster","definiert"))))</x:f>
        <x:v>definiert</x:v>
      </x:c>
      <x:c r="H289" s="182" t="str">
        <x:v>ja</x:v>
      </x:c>
      <x:c r="I289" s="182" t="str">
        <x:v>nein</x:v>
      </x:c>
      <x:c r="J289" s="182" t="str">
        <x:f>"nicht Voraussetzung"</x:f>
        <x:v>nicht Voraussetzung</x:v>
      </x:c>
      <x:c r="K289" s="190" t="n">
        <x:f>IF(G289="definiert",F289-E289,"")</x:f>
        <x:v>274</x:v>
      </x:c>
      <x:c r="L289" s="182" t="n">
        <x:v>61</x:v>
      </x:c>
      <x:c r="M289" s="182" t="str">
        <x:f>IF('Stationen Abfrage dataprocessor'!$K$61="","",'Stationen Abfrage dataprocessor'!$K$61)</x:f>
      </x:c>
      <x:c r="N289" s="182" t="str">
        <x:f>Definitionen!$B$2</x:f>
        <x:v>IP-COHORT-2026-10-28-01</x:v>
      </x:c>
    </x:row>
    <x:row r="290" ht="30" customHeight="1">
      <x:c r="A290" s="182" t="str">
        <x:f>'Stationen Abfrage dataprocessor'!$A$62</x:f>
        <x:v>UKSH Kiel</x:v>
      </x:c>
      <x:c r="B290" s="182" t="str">
        <x:f>'Stationen Abfrage dataprocessor'!$D$62</x:f>
        <x:v>C414 Innere Med I</x:v>
      </x:c>
      <x:c r="C290" s="182" t="str">
        <x:v>BS</x:v>
      </x:c>
      <x:c r="D290" s="182" t="str">
        <x:f>'Stationen Abfrage dataprocessor'!$M$62</x:f>
        <x:v>ja</x:v>
      </x:c>
      <x:c r="E290" s="189" t="n">
        <x:f>IF(G290="definiert",'Stationen Abfrage dataprocessor'!$E$62,"")</x:f>
        <x:v>45930</x:v>
      </x:c>
      <x:c r="F290" s="189" t="n">
        <x:f>IF(G290="definiert",IF('Stationen Abfrage dataprocessor'!$T$62="Studienende",'Stationen Abfrage dataprocessor'!$H$62+1,MIN('Stationen Abfrage dataprocessor'!$F$62,'Stationen Abfrage dataprocessor'!$H$62+1)),"")</x:f>
        <x:v>46059</x:v>
      </x:c>
      <x:c r="G290" s="182" t="str">
        <x:f>IF(D290="nein","nicht_anwendbar",IF(D290&lt;&gt;"ja","Konfiguration fehlt",IF(OR(NOT(ISNUMBER('Stationen Abfrage dataprocessor'!$E$62)),NOT(ISNUMBER('Stationen Abfrage dataprocessor'!$H$62)),AND('Stationen Abfrage dataprocessor'!$T$62&lt;&gt;"Phasengrenze",'Stationen Abfrage dataprocessor'!$T$62&lt;&gt;"Studienende"),AND('Stationen Abfrage dataprocessor'!$T$62="Phasengrenze",NOT(ISNUMBER('Stationen Abfrage dataprocessor'!$F$62)))),"Konfiguration fehlt",IF((IF('Stationen Abfrage dataprocessor'!$T$62="Studienende",'Stationen Abfrage dataprocessor'!$H$62+1,MIN('Stationen Abfrage dataprocessor'!$F$62,'Stationen Abfrage dataprocessor'!$H$62+1)))&lt;=('Stationen Abfrage dataprocessor'!$E$62),"kein_beobachtetes_fenster","definiert"))))</x:f>
        <x:v>definiert</x:v>
      </x:c>
      <x:c r="H290" s="182" t="str">
        <x:v>nein</x:v>
      </x:c>
      <x:c r="I290" s="182" t="str">
        <x:v>nein</x:v>
      </x:c>
      <x:c r="J290" s="182" t="str">
        <x:f>"nicht Voraussetzung"</x:f>
        <x:v>nicht Voraussetzung</x:v>
      </x:c>
      <x:c r="K290" s="190" t="n">
        <x:f>IF(G290="definiert",F290-E290,"")</x:f>
        <x:v>129</x:v>
      </x:c>
      <x:c r="L290" s="182" t="n">
        <x:v>62</x:v>
      </x:c>
      <x:c r="M290" s="182" t="str">
        <x:f>IF('Stationen Abfrage dataprocessor'!$K$62="","",'Stationen Abfrage dataprocessor'!$K$62)</x:f>
      </x:c>
      <x:c r="N290" s="182" t="str">
        <x:f>Definitionen!$B$2</x:f>
        <x:v>IP-COHORT-2026-10-28-01</x:v>
      </x:c>
    </x:row>
    <x:row r="291" ht="30" customHeight="1">
      <x:c r="A291" s="182" t="str">
        <x:f>'Stationen Abfrage dataprocessor'!$A$62</x:f>
        <x:v>UKSH Kiel</x:v>
      </x:c>
      <x:c r="B291" s="182" t="str">
        <x:f>'Stationen Abfrage dataprocessor'!$D$62</x:f>
        <x:v>C414 Innere Med I</x:v>
      </x:c>
      <x:c r="C291" s="182" t="str">
        <x:v>CRS-A</x:v>
      </x:c>
      <x:c r="D291" s="182" t="str">
        <x:f>'Stationen Abfrage dataprocessor'!$N$62</x:f>
        <x:v>ja</x:v>
      </x:c>
      <x:c r="E291" s="189" t="n">
        <x:f>IF(G291="definiert",MAX('Stationen Abfrage dataprocessor'!$E$62,'Stationen Abfrage dataprocessor'!$F$62),"")</x:f>
        <x:v>46059</x:v>
      </x:c>
      <x:c r="F291" s="189" t="n">
        <x:f>IF(G291="definiert",MIN('Stationen Abfrage dataprocessor'!$G$62,'Stationen Abfrage dataprocessor'!$H$62+1),"")</x:f>
        <x:v>46143</x:v>
      </x:c>
      <x:c r="G291" s="182" t="str">
        <x:f>IF(D291="nein","nicht_anwendbar",IF(D291&lt;&gt;"ja","Konfiguration fehlt",IF(OR(NOT(ISNUMBER('Stationen Abfrage dataprocessor'!$E$62)),NOT(ISNUMBER('Stationen Abfrage dataprocessor'!$F$62)),NOT(ISNUMBER('Stationen Abfrage dataprocessor'!$G$62)),NOT(ISNUMBER('Stationen Abfrage dataprocessor'!$H$62))),"Konfiguration fehlt",IF((MIN('Stationen Abfrage dataprocessor'!$G$62,'Stationen Abfrage dataprocessor'!$H$62+1))&lt;=(MAX('Stationen Abfrage dataprocessor'!$E$62,'Stationen Abfrage dataprocessor'!$F$62)),"kein_beobachtetes_fenster","definiert"))))</x:f>
        <x:v>definiert</x:v>
      </x:c>
      <x:c r="H291" s="182" t="str">
        <x:v>nein</x:v>
      </x:c>
      <x:c r="I291" s="182" t="str">
        <x:v>nein</x:v>
      </x:c>
      <x:c r="J291" s="182" t="str">
        <x:f>"nicht Voraussetzung"</x:f>
        <x:v>nicht Voraussetzung</x:v>
      </x:c>
      <x:c r="K291" s="190" t="n">
        <x:f>IF(G291="definiert",F291-E291,"")</x:f>
        <x:v>84</x:v>
      </x:c>
      <x:c r="L291" s="182" t="n">
        <x:v>62</x:v>
      </x:c>
      <x:c r="M291" s="182" t="str">
        <x:f>IF('Stationen Abfrage dataprocessor'!$K$62="","",'Stationen Abfrage dataprocessor'!$K$62)</x:f>
      </x:c>
      <x:c r="N291" s="182" t="str">
        <x:f>Definitionen!$B$2</x:f>
        <x:v>IP-COHORT-2026-10-28-01</x:v>
      </x:c>
    </x:row>
    <x:row r="292" ht="30" customHeight="1">
      <x:c r="A292" s="182" t="str">
        <x:f>'Stationen Abfrage dataprocessor'!$A$62</x:f>
        <x:v>UKSH Kiel</x:v>
      </x:c>
      <x:c r="B292" s="182" t="str">
        <x:f>'Stationen Abfrage dataprocessor'!$D$62</x:f>
        <x:v>C414 Innere Med I</x:v>
      </x:c>
      <x:c r="C292" s="182" t="str">
        <x:v>CRS-B</x:v>
      </x:c>
      <x:c r="D292" s="182" t="str">
        <x:f>'Stationen Abfrage dataprocessor'!$O$62</x:f>
        <x:v>ja</x:v>
      </x:c>
      <x:c r="E292" s="189" t="n">
        <x:f>IF(G292="definiert",MAX('Stationen Abfrage dataprocessor'!$E$62,'Stationen Abfrage dataprocessor'!$G$62),"")</x:f>
        <x:v>46143</x:v>
      </x:c>
      <x:c r="F292" s="189" t="n">
        <x:f>IF(G292="definiert",'Stationen Abfrage dataprocessor'!$H$62+1,"")</x:f>
        <x:v>46204</x:v>
      </x:c>
      <x:c r="G292" s="182" t="str">
        <x:f>IF(D292="nein","nicht_anwendbar",IF(D292&lt;&gt;"ja","Konfiguration fehlt",IF(OR(NOT(ISNUMBER('Stationen Abfrage dataprocessor'!$E$62)),NOT(ISNUMBER('Stationen Abfrage dataprocessor'!$G$62)),NOT(ISNUMBER('Stationen Abfrage dataprocessor'!$H$62))),"Konfiguration fehlt",IF(('Stationen Abfrage dataprocessor'!$H$62+1)&lt;=(MAX('Stationen Abfrage dataprocessor'!$E$62,'Stationen Abfrage dataprocessor'!$G$62)),"kein_beobachtetes_fenster","definiert"))))</x:f>
        <x:v>definiert</x:v>
      </x:c>
      <x:c r="H292" s="182" t="str">
        <x:v>nein</x:v>
      </x:c>
      <x:c r="I292" s="182" t="str">
        <x:v>nein</x:v>
      </x:c>
      <x:c r="J292" s="182" t="str">
        <x:f>'Stationen Abfrage dataprocessor'!$S$62</x:f>
        <x:v>fallbezogen prüfen</x:v>
      </x:c>
      <x:c r="K292" s="190" t="n">
        <x:f>IF(G292="definiert",F292-E292,"")</x:f>
        <x:v>61</x:v>
      </x:c>
      <x:c r="L292" s="182" t="n">
        <x:v>62</x:v>
      </x:c>
      <x:c r="M292" s="182" t="str">
        <x:f>IF('Stationen Abfrage dataprocessor'!$K$62="","",'Stationen Abfrage dataprocessor'!$K$62)</x:f>
      </x:c>
      <x:c r="N292" s="182" t="str">
        <x:f>Definitionen!$B$2</x:f>
        <x:v>IP-COHORT-2026-10-28-01</x:v>
      </x:c>
    </x:row>
    <x:row r="293" ht="30" customHeight="1">
      <x:c r="A293" s="182" t="str">
        <x:f>'Stationen Abfrage dataprocessor'!$A$62</x:f>
        <x:v>UKSH Kiel</x:v>
      </x:c>
      <x:c r="B293" s="182" t="str">
        <x:f>'Stationen Abfrage dataprocessor'!$D$62</x:f>
        <x:v>C414 Innere Med I</x:v>
      </x:c>
      <x:c r="C293" s="182" t="str">
        <x:v>RES</x:v>
      </x:c>
      <x:c r="D293" s="182" t="str">
        <x:f>'Stationen Abfrage dataprocessor'!$P$62</x:f>
        <x:v>ja</x:v>
      </x:c>
      <x:c r="E293" s="189" t="n">
        <x:f>IF(G293="definiert",MAX('Stationen Abfrage dataprocessor'!$E$62,'Stationen Abfrage dataprocessor'!$G$62),"")</x:f>
        <x:v>46143</x:v>
      </x:c>
      <x:c r="F293" s="189" t="n">
        <x:f>IF(G293="definiert",'Stationen Abfrage dataprocessor'!$H$62+1,"")</x:f>
        <x:v>46204</x:v>
      </x:c>
      <x:c r="G293" s="182" t="str">
        <x:f>IF(D293="nein","nicht_anwendbar",IF(D293&lt;&gt;"ja","Konfiguration fehlt",IF(OR(NOT(ISNUMBER('Stationen Abfrage dataprocessor'!$E$62)),NOT(ISNUMBER('Stationen Abfrage dataprocessor'!$G$62)),NOT(ISNUMBER('Stationen Abfrage dataprocessor'!$H$62))),"Konfiguration fehlt",IF(('Stationen Abfrage dataprocessor'!$H$62+1)&lt;=(MAX('Stationen Abfrage dataprocessor'!$E$62,'Stationen Abfrage dataprocessor'!$G$62)),"kein_beobachtetes_fenster","definiert"))))</x:f>
        <x:v>definiert</x:v>
      </x:c>
      <x:c r="H293" s="182" t="str">
        <x:v>ja</x:v>
      </x:c>
      <x:c r="I293" s="182" t="str">
        <x:v>ja</x:v>
      </x:c>
      <x:c r="J293" s="182" t="str">
        <x:f>'Stationen Abfrage dataprocessor'!$S$62</x:f>
        <x:v>fallbezogen prüfen</x:v>
      </x:c>
      <x:c r="K293" s="190" t="n">
        <x:f>IF(G293="definiert",F293-E293,"")</x:f>
        <x:v>61</x:v>
      </x:c>
      <x:c r="L293" s="182" t="n">
        <x:v>62</x:v>
      </x:c>
      <x:c r="M293" s="182" t="str">
        <x:f>IF('Stationen Abfrage dataprocessor'!$K$62="","",'Stationen Abfrage dataprocessor'!$K$62)</x:f>
      </x:c>
      <x:c r="N293" s="182" t="str">
        <x:f>Definitionen!$B$2</x:f>
        <x:v>IP-COHORT-2026-10-28-01</x:v>
      </x:c>
    </x:row>
    <x:row r="294" ht="30" customHeight="1">
      <x:c r="A294" s="182" t="str">
        <x:f>'Stationen Abfrage dataprocessor'!$A$62</x:f>
        <x:v>UKSH Kiel</x:v>
      </x:c>
      <x:c r="B294" s="182" t="str">
        <x:f>'Stationen Abfrage dataprocessor'!$D$62</x:f>
        <x:v>C414 Innere Med I</x:v>
      </x:c>
      <x:c r="C294" s="182" t="str">
        <x:v>TRS</x:v>
      </x:c>
      <x:c r="D294" s="182" t="str">
        <x:f>'Stationen Abfrage dataprocessor'!$Q$62</x:f>
        <x:v>ja</x:v>
      </x:c>
      <x:c r="E294" s="189" t="n">
        <x:f>IF(G294="definiert",'Stationen Abfrage dataprocessor'!$E$62,"")</x:f>
        <x:v>45930</x:v>
      </x:c>
      <x:c r="F294" s="189" t="n">
        <x:f>IF(G294="definiert",'Stationen Abfrage dataprocessor'!$H$62+1,"")</x:f>
        <x:v>46204</x:v>
      </x:c>
      <x:c r="G294" s="182" t="str">
        <x:f>IF(D294="nein","nicht_anwendbar",IF(D294&lt;&gt;"ja","Konfiguration fehlt",IF(OR(NOT(ISNUMBER('Stationen Abfrage dataprocessor'!$E$62)),NOT(ISNUMBER('Stationen Abfrage dataprocessor'!$H$62))),"Konfiguration fehlt",IF(('Stationen Abfrage dataprocessor'!$H$62+1)&lt;=('Stationen Abfrage dataprocessor'!$E$62),"kein_beobachtetes_fenster","definiert"))))</x:f>
        <x:v>definiert</x:v>
      </x:c>
      <x:c r="H294" s="182" t="str">
        <x:v>ja</x:v>
      </x:c>
      <x:c r="I294" s="182" t="str">
        <x:v>nein</x:v>
      </x:c>
      <x:c r="J294" s="182" t="str">
        <x:f>"nicht Voraussetzung"</x:f>
        <x:v>nicht Voraussetzung</x:v>
      </x:c>
      <x:c r="K294" s="190" t="n">
        <x:f>IF(G294="definiert",F294-E294,"")</x:f>
        <x:v>274</x:v>
      </x:c>
      <x:c r="L294" s="182" t="n">
        <x:v>62</x:v>
      </x:c>
      <x:c r="M294" s="182" t="str">
        <x:f>IF('Stationen Abfrage dataprocessor'!$K$62="","",'Stationen Abfrage dataprocessor'!$K$62)</x:f>
      </x:c>
      <x:c r="N294" s="182" t="str">
        <x:f>Definitionen!$B$2</x:f>
        <x:v>IP-COHORT-2026-10-28-01</x:v>
      </x:c>
    </x:row>
    <x:row r="295" ht="30" customHeight="1">
      <x:c r="A295" s="182" t="str">
        <x:f>'Stationen Abfrage dataprocessor'!$A$63</x:f>
        <x:v>UKSH Kiel</x:v>
      </x:c>
      <x:c r="B295" s="182" t="str">
        <x:f>'Stationen Abfrage dataprocessor'!$D$63</x:f>
        <x:v>C314 Allgemeine Chirurgie</x:v>
      </x:c>
      <x:c r="C295" s="182" t="str">
        <x:v>BS</x:v>
      </x:c>
      <x:c r="D295" s="182" t="str">
        <x:f>'Stationen Abfrage dataprocessor'!$M$63</x:f>
        <x:v>ja</x:v>
      </x:c>
      <x:c r="E295" s="189" t="n">
        <x:f>IF(G295="definiert",'Stationen Abfrage dataprocessor'!$E$63,"")</x:f>
        <x:v>45930</x:v>
      </x:c>
      <x:c r="F295" s="189" t="n">
        <x:f>IF(G295="definiert",IF('Stationen Abfrage dataprocessor'!$T$63="Studienende",'Stationen Abfrage dataprocessor'!$H$63+1,MIN('Stationen Abfrage dataprocessor'!$F$63,'Stationen Abfrage dataprocessor'!$H$63+1)),"")</x:f>
        <x:v>46059</x:v>
      </x:c>
      <x:c r="G295" s="182" t="str">
        <x:f>IF(D295="nein","nicht_anwendbar",IF(D295&lt;&gt;"ja","Konfiguration fehlt",IF(OR(NOT(ISNUMBER('Stationen Abfrage dataprocessor'!$E$63)),NOT(ISNUMBER('Stationen Abfrage dataprocessor'!$H$63)),AND('Stationen Abfrage dataprocessor'!$T$63&lt;&gt;"Phasengrenze",'Stationen Abfrage dataprocessor'!$T$63&lt;&gt;"Studienende"),AND('Stationen Abfrage dataprocessor'!$T$63="Phasengrenze",NOT(ISNUMBER('Stationen Abfrage dataprocessor'!$F$63)))),"Konfiguration fehlt",IF((IF('Stationen Abfrage dataprocessor'!$T$63="Studienende",'Stationen Abfrage dataprocessor'!$H$63+1,MIN('Stationen Abfrage dataprocessor'!$F$63,'Stationen Abfrage dataprocessor'!$H$63+1)))&lt;=('Stationen Abfrage dataprocessor'!$E$63),"kein_beobachtetes_fenster","definiert"))))</x:f>
        <x:v>definiert</x:v>
      </x:c>
      <x:c r="H295" s="182" t="str">
        <x:v>nein</x:v>
      </x:c>
      <x:c r="I295" s="182" t="str">
        <x:v>nein</x:v>
      </x:c>
      <x:c r="J295" s="182" t="str">
        <x:f>"nicht Voraussetzung"</x:f>
        <x:v>nicht Voraussetzung</x:v>
      </x:c>
      <x:c r="K295" s="190" t="n">
        <x:f>IF(G295="definiert",F295-E295,"")</x:f>
        <x:v>129</x:v>
      </x:c>
      <x:c r="L295" s="182" t="n">
        <x:v>63</x:v>
      </x:c>
      <x:c r="M295" s="182" t="str">
        <x:f>IF('Stationen Abfrage dataprocessor'!$K$63="","",'Stationen Abfrage dataprocessor'!$K$63)</x:f>
      </x:c>
      <x:c r="N295" s="182" t="str">
        <x:f>Definitionen!$B$2</x:f>
        <x:v>IP-COHORT-2026-10-28-01</x:v>
      </x:c>
    </x:row>
    <x:row r="296" ht="30" customHeight="1">
      <x:c r="A296" s="182" t="str">
        <x:f>'Stationen Abfrage dataprocessor'!$A$63</x:f>
        <x:v>UKSH Kiel</x:v>
      </x:c>
      <x:c r="B296" s="182" t="str">
        <x:f>'Stationen Abfrage dataprocessor'!$D$63</x:f>
        <x:v>C314 Allgemeine Chirurgie</x:v>
      </x:c>
      <x:c r="C296" s="182" t="str">
        <x:v>CRS-A</x:v>
      </x:c>
      <x:c r="D296" s="182" t="str">
        <x:f>'Stationen Abfrage dataprocessor'!$N$63</x:f>
        <x:v>ja</x:v>
      </x:c>
      <x:c r="E296" s="189" t="n">
        <x:f>IF(G296="definiert",MAX('Stationen Abfrage dataprocessor'!$E$63,'Stationen Abfrage dataprocessor'!$F$63),"")</x:f>
        <x:v>46059</x:v>
      </x:c>
      <x:c r="F296" s="189" t="n">
        <x:f>IF(G296="definiert",MIN('Stationen Abfrage dataprocessor'!$G$63,'Stationen Abfrage dataprocessor'!$H$63+1),"")</x:f>
        <x:v>46171</x:v>
      </x:c>
      <x:c r="G296" s="182" t="str">
        <x:f>IF(D296="nein","nicht_anwendbar",IF(D296&lt;&gt;"ja","Konfiguration fehlt",IF(OR(NOT(ISNUMBER('Stationen Abfrage dataprocessor'!$E$63)),NOT(ISNUMBER('Stationen Abfrage dataprocessor'!$F$63)),NOT(ISNUMBER('Stationen Abfrage dataprocessor'!$G$63)),NOT(ISNUMBER('Stationen Abfrage dataprocessor'!$H$63))),"Konfiguration fehlt",IF((MIN('Stationen Abfrage dataprocessor'!$G$63,'Stationen Abfrage dataprocessor'!$H$63+1))&lt;=(MAX('Stationen Abfrage dataprocessor'!$E$63,'Stationen Abfrage dataprocessor'!$F$63)),"kein_beobachtetes_fenster","definiert"))))</x:f>
        <x:v>definiert</x:v>
      </x:c>
      <x:c r="H296" s="182" t="str">
        <x:v>nein</x:v>
      </x:c>
      <x:c r="I296" s="182" t="str">
        <x:v>nein</x:v>
      </x:c>
      <x:c r="J296" s="182" t="str">
        <x:f>"nicht Voraussetzung"</x:f>
        <x:v>nicht Voraussetzung</x:v>
      </x:c>
      <x:c r="K296" s="190" t="n">
        <x:f>IF(G296="definiert",F296-E296,"")</x:f>
        <x:v>112</x:v>
      </x:c>
      <x:c r="L296" s="182" t="n">
        <x:v>63</x:v>
      </x:c>
      <x:c r="M296" s="182" t="str">
        <x:f>IF('Stationen Abfrage dataprocessor'!$K$63="","",'Stationen Abfrage dataprocessor'!$K$63)</x:f>
      </x:c>
      <x:c r="N296" s="182" t="str">
        <x:f>Definitionen!$B$2</x:f>
        <x:v>IP-COHORT-2026-10-28-01</x:v>
      </x:c>
    </x:row>
    <x:row r="297" ht="30" customHeight="1">
      <x:c r="A297" s="182" t="str">
        <x:f>'Stationen Abfrage dataprocessor'!$A$63</x:f>
        <x:v>UKSH Kiel</x:v>
      </x:c>
      <x:c r="B297" s="182" t="str">
        <x:f>'Stationen Abfrage dataprocessor'!$D$63</x:f>
        <x:v>C314 Allgemeine Chirurgie</x:v>
      </x:c>
      <x:c r="C297" s="182" t="str">
        <x:v>CRS-B</x:v>
      </x:c>
      <x:c r="D297" s="182" t="str">
        <x:f>'Stationen Abfrage dataprocessor'!$O$63</x:f>
        <x:v>ja</x:v>
      </x:c>
      <x:c r="E297" s="189" t="n">
        <x:f>IF(G297="definiert",MAX('Stationen Abfrage dataprocessor'!$E$63,'Stationen Abfrage dataprocessor'!$G$63),"")</x:f>
        <x:v>46171</x:v>
      </x:c>
      <x:c r="F297" s="189" t="n">
        <x:f>IF(G297="definiert",'Stationen Abfrage dataprocessor'!$H$63+1,"")</x:f>
        <x:v>46204</x:v>
      </x:c>
      <x:c r="G297" s="182" t="str">
        <x:f>IF(D297="nein","nicht_anwendbar",IF(D297&lt;&gt;"ja","Konfiguration fehlt",IF(OR(NOT(ISNUMBER('Stationen Abfrage dataprocessor'!$E$63)),NOT(ISNUMBER('Stationen Abfrage dataprocessor'!$G$63)),NOT(ISNUMBER('Stationen Abfrage dataprocessor'!$H$63))),"Konfiguration fehlt",IF(('Stationen Abfrage dataprocessor'!$H$63+1)&lt;=(MAX('Stationen Abfrage dataprocessor'!$E$63,'Stationen Abfrage dataprocessor'!$G$63)),"kein_beobachtetes_fenster","definiert"))))</x:f>
        <x:v>definiert</x:v>
      </x:c>
      <x:c r="H297" s="182" t="str">
        <x:v>nein</x:v>
      </x:c>
      <x:c r="I297" s="182" t="str">
        <x:v>nein</x:v>
      </x:c>
      <x:c r="J297" s="182" t="str">
        <x:f>'Stationen Abfrage dataprocessor'!$S$63</x:f>
        <x:v>fallbezogen prüfen</x:v>
      </x:c>
      <x:c r="K297" s="190" t="n">
        <x:f>IF(G297="definiert",F297-E297,"")</x:f>
        <x:v>33</x:v>
      </x:c>
      <x:c r="L297" s="182" t="n">
        <x:v>63</x:v>
      </x:c>
      <x:c r="M297" s="182" t="str">
        <x:f>IF('Stationen Abfrage dataprocessor'!$K$63="","",'Stationen Abfrage dataprocessor'!$K$63)</x:f>
      </x:c>
      <x:c r="N297" s="182" t="str">
        <x:f>Definitionen!$B$2</x:f>
        <x:v>IP-COHORT-2026-10-28-01</x:v>
      </x:c>
    </x:row>
    <x:row r="298" ht="30" customHeight="1">
      <x:c r="A298" s="182" t="str">
        <x:f>'Stationen Abfrage dataprocessor'!$A$63</x:f>
        <x:v>UKSH Kiel</x:v>
      </x:c>
      <x:c r="B298" s="182" t="str">
        <x:f>'Stationen Abfrage dataprocessor'!$D$63</x:f>
        <x:v>C314 Allgemeine Chirurgie</x:v>
      </x:c>
      <x:c r="C298" s="182" t="str">
        <x:v>RES</x:v>
      </x:c>
      <x:c r="D298" s="182" t="str">
        <x:f>'Stationen Abfrage dataprocessor'!$P$63</x:f>
        <x:v>ja</x:v>
      </x:c>
      <x:c r="E298" s="189" t="n">
        <x:f>IF(G298="definiert",MAX('Stationen Abfrage dataprocessor'!$E$63,'Stationen Abfrage dataprocessor'!$G$63),"")</x:f>
        <x:v>46171</x:v>
      </x:c>
      <x:c r="F298" s="189" t="n">
        <x:f>IF(G298="definiert",'Stationen Abfrage dataprocessor'!$H$63+1,"")</x:f>
        <x:v>46204</x:v>
      </x:c>
      <x:c r="G298" s="182" t="str">
        <x:f>IF(D298="nein","nicht_anwendbar",IF(D298&lt;&gt;"ja","Konfiguration fehlt",IF(OR(NOT(ISNUMBER('Stationen Abfrage dataprocessor'!$E$63)),NOT(ISNUMBER('Stationen Abfrage dataprocessor'!$G$63)),NOT(ISNUMBER('Stationen Abfrage dataprocessor'!$H$63))),"Konfiguration fehlt",IF(('Stationen Abfrage dataprocessor'!$H$63+1)&lt;=(MAX('Stationen Abfrage dataprocessor'!$E$63,'Stationen Abfrage dataprocessor'!$G$63)),"kein_beobachtetes_fenster","definiert"))))</x:f>
        <x:v>definiert</x:v>
      </x:c>
      <x:c r="H298" s="182" t="str">
        <x:v>ja</x:v>
      </x:c>
      <x:c r="I298" s="182" t="str">
        <x:v>ja</x:v>
      </x:c>
      <x:c r="J298" s="182" t="str">
        <x:f>'Stationen Abfrage dataprocessor'!$S$63</x:f>
        <x:v>fallbezogen prüfen</x:v>
      </x:c>
      <x:c r="K298" s="190" t="n">
        <x:f>IF(G298="definiert",F298-E298,"")</x:f>
        <x:v>33</x:v>
      </x:c>
      <x:c r="L298" s="182" t="n">
        <x:v>63</x:v>
      </x:c>
      <x:c r="M298" s="182" t="str">
        <x:f>IF('Stationen Abfrage dataprocessor'!$K$63="","",'Stationen Abfrage dataprocessor'!$K$63)</x:f>
      </x:c>
      <x:c r="N298" s="182" t="str">
        <x:f>Definitionen!$B$2</x:f>
        <x:v>IP-COHORT-2026-10-28-01</x:v>
      </x:c>
    </x:row>
    <x:row r="299" ht="30" customHeight="1">
      <x:c r="A299" s="182" t="str">
        <x:f>'Stationen Abfrage dataprocessor'!$A$63</x:f>
        <x:v>UKSH Kiel</x:v>
      </x:c>
      <x:c r="B299" s="182" t="str">
        <x:f>'Stationen Abfrage dataprocessor'!$D$63</x:f>
        <x:v>C314 Allgemeine Chirurgie</x:v>
      </x:c>
      <x:c r="C299" s="182" t="str">
        <x:v>TRS</x:v>
      </x:c>
      <x:c r="D299" s="182" t="str">
        <x:f>'Stationen Abfrage dataprocessor'!$Q$63</x:f>
        <x:v>ja</x:v>
      </x:c>
      <x:c r="E299" s="189" t="n">
        <x:f>IF(G299="definiert",'Stationen Abfrage dataprocessor'!$E$63,"")</x:f>
        <x:v>45930</x:v>
      </x:c>
      <x:c r="F299" s="189" t="n">
        <x:f>IF(G299="definiert",'Stationen Abfrage dataprocessor'!$H$63+1,"")</x:f>
        <x:v>46204</x:v>
      </x:c>
      <x:c r="G299" s="182" t="str">
        <x:f>IF(D299="nein","nicht_anwendbar",IF(D299&lt;&gt;"ja","Konfiguration fehlt",IF(OR(NOT(ISNUMBER('Stationen Abfrage dataprocessor'!$E$63)),NOT(ISNUMBER('Stationen Abfrage dataprocessor'!$H$63))),"Konfiguration fehlt",IF(('Stationen Abfrage dataprocessor'!$H$63+1)&lt;=('Stationen Abfrage dataprocessor'!$E$63),"kein_beobachtetes_fenster","definiert"))))</x:f>
        <x:v>definiert</x:v>
      </x:c>
      <x:c r="H299" s="182" t="str">
        <x:v>ja</x:v>
      </x:c>
      <x:c r="I299" s="182" t="str">
        <x:v>nein</x:v>
      </x:c>
      <x:c r="J299" s="182" t="str">
        <x:f>"nicht Voraussetzung"</x:f>
        <x:v>nicht Voraussetzung</x:v>
      </x:c>
      <x:c r="K299" s="190" t="n">
        <x:f>IF(G299="definiert",F299-E299,"")</x:f>
        <x:v>274</x:v>
      </x:c>
      <x:c r="L299" s="182" t="n">
        <x:v>63</x:v>
      </x:c>
      <x:c r="M299" s="182" t="str">
        <x:f>IF('Stationen Abfrage dataprocessor'!$K$63="","",'Stationen Abfrage dataprocessor'!$K$63)</x:f>
      </x:c>
      <x:c r="N299" s="182" t="str">
        <x:f>Definitionen!$B$2</x:f>
        <x:v>IP-COHORT-2026-10-28-01</x:v>
      </x:c>
    </x:row>
    <x:row r="300" ht="30" customHeight="1">
      <x:c r="A300" s="182" t="str">
        <x:f>'Stationen Abfrage dataprocessor'!$A$64</x:f>
        <x:v>UK Leipzig</x:v>
      </x:c>
      <x:c r="B300" s="182" t="str">
        <x:f>'Stationen Abfrage dataprocessor'!$D$64</x:f>
        <x:v>B00-2</x:v>
      </x:c>
      <x:c r="C300" s="182" t="str">
        <x:v>BS</x:v>
      </x:c>
      <x:c r="D300" s="182" t="str">
        <x:f>'Stationen Abfrage dataprocessor'!$M$64</x:f>
        <x:v>ja</x:v>
      </x:c>
      <x:c r="E300" s="189" t="n">
        <x:f>IF(G300="definiert",'Stationen Abfrage dataprocessor'!$E$64,"")</x:f>
        <x:v>45839</x:v>
      </x:c>
      <x:c r="F300" s="189" t="n">
        <x:f>IF(G300="definiert",IF('Stationen Abfrage dataprocessor'!$T$64="Studienende",'Stationen Abfrage dataprocessor'!$H$64+1,MIN('Stationen Abfrage dataprocessor'!$F$64,'Stationen Abfrage dataprocessor'!$H$64+1)),"")</x:f>
        <x:v>46045</x:v>
      </x:c>
      <x:c r="G300" s="182" t="str">
        <x:f>IF(D300="nein","nicht_anwendbar",IF(D300&lt;&gt;"ja","Konfiguration fehlt",IF(OR(NOT(ISNUMBER('Stationen Abfrage dataprocessor'!$E$64)),NOT(ISNUMBER('Stationen Abfrage dataprocessor'!$H$64)),AND('Stationen Abfrage dataprocessor'!$T$64&lt;&gt;"Phasengrenze",'Stationen Abfrage dataprocessor'!$T$64&lt;&gt;"Studienende"),AND('Stationen Abfrage dataprocessor'!$T$64="Phasengrenze",NOT(ISNUMBER('Stationen Abfrage dataprocessor'!$F$64)))),"Konfiguration fehlt",IF((IF('Stationen Abfrage dataprocessor'!$T$64="Studienende",'Stationen Abfrage dataprocessor'!$H$64+1,MIN('Stationen Abfrage dataprocessor'!$F$64,'Stationen Abfrage dataprocessor'!$H$64+1)))&lt;=('Stationen Abfrage dataprocessor'!$E$64),"kein_beobachtetes_fenster","definiert"))))</x:f>
        <x:v>definiert</x:v>
      </x:c>
      <x:c r="H300" s="182" t="str">
        <x:v>nein</x:v>
      </x:c>
      <x:c r="I300" s="182" t="str">
        <x:v>nein</x:v>
      </x:c>
      <x:c r="J300" s="182" t="str">
        <x:f>"nicht Voraussetzung"</x:f>
        <x:v>nicht Voraussetzung</x:v>
      </x:c>
      <x:c r="K300" s="190" t="n">
        <x:f>IF(G300="definiert",F300-E300,"")</x:f>
        <x:v>206</x:v>
      </x:c>
      <x:c r="L300" s="182" t="n">
        <x:v>64</x:v>
      </x:c>
      <x:c r="M300" s="182" t="str">
        <x:f>IF('Stationen Abfrage dataprocessor'!$K$64="","",'Stationen Abfrage dataprocessor'!$K$64)</x:f>
      </x:c>
      <x:c r="N300" s="182" t="str">
        <x:f>Definitionen!$B$2</x:f>
        <x:v>IP-COHORT-2026-10-28-01</x:v>
      </x:c>
    </x:row>
    <x:row r="301" ht="30" customHeight="1">
      <x:c r="A301" s="182" t="str">
        <x:f>'Stationen Abfrage dataprocessor'!$A$64</x:f>
        <x:v>UK Leipzig</x:v>
      </x:c>
      <x:c r="B301" s="182" t="str">
        <x:f>'Stationen Abfrage dataprocessor'!$D$64</x:f>
        <x:v>B00-2</x:v>
      </x:c>
      <x:c r="C301" s="182" t="str">
        <x:v>CRS-A</x:v>
      </x:c>
      <x:c r="D301" s="182" t="str">
        <x:f>'Stationen Abfrage dataprocessor'!$N$64</x:f>
        <x:v>ja</x:v>
      </x:c>
      <x:c r="E301" s="189" t="n">
        <x:f>IF(G301="definiert",MAX('Stationen Abfrage dataprocessor'!$E$64,'Stationen Abfrage dataprocessor'!$F$64),"")</x:f>
        <x:v>46045</x:v>
      </x:c>
      <x:c r="F301" s="189" t="n">
        <x:f>IF(G301="definiert",MIN('Stationen Abfrage dataprocessor'!$G$64,'Stationen Abfrage dataprocessor'!$H$64+1),"")</x:f>
        <x:v>46073</x:v>
      </x:c>
      <x:c r="G301" s="182" t="str">
        <x:f>IF(D301="nein","nicht_anwendbar",IF(D301&lt;&gt;"ja","Konfiguration fehlt",IF(OR(NOT(ISNUMBER('Stationen Abfrage dataprocessor'!$E$64)),NOT(ISNUMBER('Stationen Abfrage dataprocessor'!$F$64)),NOT(ISNUMBER('Stationen Abfrage dataprocessor'!$G$64)),NOT(ISNUMBER('Stationen Abfrage dataprocessor'!$H$64))),"Konfiguration fehlt",IF((MIN('Stationen Abfrage dataprocessor'!$G$64,'Stationen Abfrage dataprocessor'!$H$64+1))&lt;=(MAX('Stationen Abfrage dataprocessor'!$E$64,'Stationen Abfrage dataprocessor'!$F$64)),"kein_beobachtetes_fenster","definiert"))))</x:f>
        <x:v>definiert</x:v>
      </x:c>
      <x:c r="H301" s="182" t="str">
        <x:v>nein</x:v>
      </x:c>
      <x:c r="I301" s="182" t="str">
        <x:v>nein</x:v>
      </x:c>
      <x:c r="J301" s="182" t="str">
        <x:f>"nicht Voraussetzung"</x:f>
        <x:v>nicht Voraussetzung</x:v>
      </x:c>
      <x:c r="K301" s="190" t="n">
        <x:f>IF(G301="definiert",F301-E301,"")</x:f>
        <x:v>28</x:v>
      </x:c>
      <x:c r="L301" s="182" t="n">
        <x:v>64</x:v>
      </x:c>
      <x:c r="M301" s="182" t="str">
        <x:f>IF('Stationen Abfrage dataprocessor'!$K$64="","",'Stationen Abfrage dataprocessor'!$K$64)</x:f>
      </x:c>
      <x:c r="N301" s="182" t="str">
        <x:f>Definitionen!$B$2</x:f>
        <x:v>IP-COHORT-2026-10-28-01</x:v>
      </x:c>
    </x:row>
    <x:row r="302" ht="30" customHeight="1">
      <x:c r="A302" s="182" t="str">
        <x:f>'Stationen Abfrage dataprocessor'!$A$64</x:f>
        <x:v>UK Leipzig</x:v>
      </x:c>
      <x:c r="B302" s="182" t="str">
        <x:f>'Stationen Abfrage dataprocessor'!$D$64</x:f>
        <x:v>B00-2</x:v>
      </x:c>
      <x:c r="C302" s="182" t="str">
        <x:v>CRS-B</x:v>
      </x:c>
      <x:c r="D302" s="182" t="str">
        <x:f>'Stationen Abfrage dataprocessor'!$O$64</x:f>
        <x:v>ja</x:v>
      </x:c>
      <x:c r="E302" s="189" t="n">
        <x:f>IF(G302="definiert",MAX('Stationen Abfrage dataprocessor'!$E$64,'Stationen Abfrage dataprocessor'!$G$64),"")</x:f>
        <x:v>46073</x:v>
      </x:c>
      <x:c r="F302" s="189" t="n">
        <x:f>IF(G302="definiert",'Stationen Abfrage dataprocessor'!$H$64+1,"")</x:f>
        <x:v>46266</x:v>
      </x:c>
      <x:c r="G302" s="182" t="str">
        <x:f>IF(D302="nein","nicht_anwendbar",IF(D302&lt;&gt;"ja","Konfiguration fehlt",IF(OR(NOT(ISNUMBER('Stationen Abfrage dataprocessor'!$E$64)),NOT(ISNUMBER('Stationen Abfrage dataprocessor'!$G$64)),NOT(ISNUMBER('Stationen Abfrage dataprocessor'!$H$64))),"Konfiguration fehlt",IF(('Stationen Abfrage dataprocessor'!$H$64+1)&lt;=(MAX('Stationen Abfrage dataprocessor'!$E$64,'Stationen Abfrage dataprocessor'!$G$64)),"kein_beobachtetes_fenster","definiert"))))</x:f>
        <x:v>definiert</x:v>
      </x:c>
      <x:c r="H302" s="182" t="str">
        <x:v>nein</x:v>
      </x:c>
      <x:c r="I302" s="182" t="str">
        <x:v>nein</x:v>
      </x:c>
      <x:c r="J302" s="182" t="str">
        <x:f>'Stationen Abfrage dataprocessor'!$S$64</x:f>
        <x:v>fallbezogen prüfen</x:v>
      </x:c>
      <x:c r="K302" s="190" t="n">
        <x:f>IF(G302="definiert",F302-E302,"")</x:f>
        <x:v>193</x:v>
      </x:c>
      <x:c r="L302" s="182" t="n">
        <x:v>64</x:v>
      </x:c>
      <x:c r="M302" s="182" t="str">
        <x:f>IF('Stationen Abfrage dataprocessor'!$K$64="","",'Stationen Abfrage dataprocessor'!$K$64)</x:f>
      </x:c>
      <x:c r="N302" s="182" t="str">
        <x:f>Definitionen!$B$2</x:f>
        <x:v>IP-COHORT-2026-10-28-01</x:v>
      </x:c>
    </x:row>
    <x:row r="303" ht="30" customHeight="1">
      <x:c r="A303" s="182" t="str">
        <x:f>'Stationen Abfrage dataprocessor'!$A$64</x:f>
        <x:v>UK Leipzig</x:v>
      </x:c>
      <x:c r="B303" s="182" t="str">
        <x:f>'Stationen Abfrage dataprocessor'!$D$64</x:f>
        <x:v>B00-2</x:v>
      </x:c>
      <x:c r="C303" s="182" t="str">
        <x:v>RES</x:v>
      </x:c>
      <x:c r="D303" s="182" t="str">
        <x:f>'Stationen Abfrage dataprocessor'!$P$64</x:f>
        <x:v>ja</x:v>
      </x:c>
      <x:c r="E303" s="189" t="n">
        <x:f>IF(G303="definiert",MAX('Stationen Abfrage dataprocessor'!$E$64,'Stationen Abfrage dataprocessor'!$G$64),"")</x:f>
        <x:v>46073</x:v>
      </x:c>
      <x:c r="F303" s="189" t="n">
        <x:f>IF(G303="definiert",'Stationen Abfrage dataprocessor'!$H$64+1,"")</x:f>
        <x:v>46266</x:v>
      </x:c>
      <x:c r="G303" s="182" t="str">
        <x:f>IF(D303="nein","nicht_anwendbar",IF(D303&lt;&gt;"ja","Konfiguration fehlt",IF(OR(NOT(ISNUMBER('Stationen Abfrage dataprocessor'!$E$64)),NOT(ISNUMBER('Stationen Abfrage dataprocessor'!$G$64)),NOT(ISNUMBER('Stationen Abfrage dataprocessor'!$H$64))),"Konfiguration fehlt",IF(('Stationen Abfrage dataprocessor'!$H$64+1)&lt;=(MAX('Stationen Abfrage dataprocessor'!$E$64,'Stationen Abfrage dataprocessor'!$G$64)),"kein_beobachtetes_fenster","definiert"))))</x:f>
        <x:v>definiert</x:v>
      </x:c>
      <x:c r="H303" s="182" t="str">
        <x:v>ja</x:v>
      </x:c>
      <x:c r="I303" s="182" t="str">
        <x:v>ja</x:v>
      </x:c>
      <x:c r="J303" s="182" t="str">
        <x:f>'Stationen Abfrage dataprocessor'!$S$64</x:f>
        <x:v>fallbezogen prüfen</x:v>
      </x:c>
      <x:c r="K303" s="190" t="n">
        <x:f>IF(G303="definiert",F303-E303,"")</x:f>
        <x:v>193</x:v>
      </x:c>
      <x:c r="L303" s="182" t="n">
        <x:v>64</x:v>
      </x:c>
      <x:c r="M303" s="182" t="str">
        <x:f>IF('Stationen Abfrage dataprocessor'!$K$64="","",'Stationen Abfrage dataprocessor'!$K$64)</x:f>
      </x:c>
      <x:c r="N303" s="182" t="str">
        <x:f>Definitionen!$B$2</x:f>
        <x:v>IP-COHORT-2026-10-28-01</x:v>
      </x:c>
    </x:row>
    <x:row r="304" ht="30" customHeight="1">
      <x:c r="A304" s="182" t="str">
        <x:f>'Stationen Abfrage dataprocessor'!$A$64</x:f>
        <x:v>UK Leipzig</x:v>
      </x:c>
      <x:c r="B304" s="182" t="str">
        <x:f>'Stationen Abfrage dataprocessor'!$D$64</x:f>
        <x:v>B00-2</x:v>
      </x:c>
      <x:c r="C304" s="182" t="str">
        <x:v>TRS</x:v>
      </x:c>
      <x:c r="D304" s="182" t="str">
        <x:f>'Stationen Abfrage dataprocessor'!$Q$64</x:f>
        <x:v>ja</x:v>
      </x:c>
      <x:c r="E304" s="189" t="n">
        <x:f>IF(G304="definiert",'Stationen Abfrage dataprocessor'!$E$64,"")</x:f>
        <x:v>45839</x:v>
      </x:c>
      <x:c r="F304" s="189" t="n">
        <x:f>IF(G304="definiert",'Stationen Abfrage dataprocessor'!$H$64+1,"")</x:f>
        <x:v>46266</x:v>
      </x:c>
      <x:c r="G304" s="182" t="str">
        <x:f>IF(D304="nein","nicht_anwendbar",IF(D304&lt;&gt;"ja","Konfiguration fehlt",IF(OR(NOT(ISNUMBER('Stationen Abfrage dataprocessor'!$E$64)),NOT(ISNUMBER('Stationen Abfrage dataprocessor'!$H$64))),"Konfiguration fehlt",IF(('Stationen Abfrage dataprocessor'!$H$64+1)&lt;=('Stationen Abfrage dataprocessor'!$E$64),"kein_beobachtetes_fenster","definiert"))))</x:f>
        <x:v>definiert</x:v>
      </x:c>
      <x:c r="H304" s="182" t="str">
        <x:v>ja</x:v>
      </x:c>
      <x:c r="I304" s="182" t="str">
        <x:v>nein</x:v>
      </x:c>
      <x:c r="J304" s="182" t="str">
        <x:f>"nicht Voraussetzung"</x:f>
        <x:v>nicht Voraussetzung</x:v>
      </x:c>
      <x:c r="K304" s="190" t="n">
        <x:f>IF(G304="definiert",F304-E304,"")</x:f>
        <x:v>427</x:v>
      </x:c>
      <x:c r="L304" s="182" t="n">
        <x:v>64</x:v>
      </x:c>
      <x:c r="M304" s="182" t="str">
        <x:f>IF('Stationen Abfrage dataprocessor'!$K$64="","",'Stationen Abfrage dataprocessor'!$K$64)</x:f>
      </x:c>
      <x:c r="N304" s="182" t="str">
        <x:f>Definitionen!$B$2</x:f>
        <x:v>IP-COHORT-2026-10-28-01</x:v>
      </x:c>
    </x:row>
    <x:row r="305" ht="30" customHeight="1">
      <x:c r="A305" s="182" t="str">
        <x:f>'Stationen Abfrage dataprocessor'!$A$65</x:f>
        <x:v>UK Leipzig</x:v>
      </x:c>
      <x:c r="B305" s="182" t="str">
        <x:f>'Stationen Abfrage dataprocessor'!$D$65</x:f>
        <x:v>J01-2</x:v>
      </x:c>
      <x:c r="C305" s="182" t="str">
        <x:v>BS</x:v>
      </x:c>
      <x:c r="D305" s="182" t="str">
        <x:f>'Stationen Abfrage dataprocessor'!$M$65</x:f>
        <x:v>ja</x:v>
      </x:c>
      <x:c r="E305" s="189" t="n">
        <x:f>IF(G305="definiert",'Stationen Abfrage dataprocessor'!$E$65,"")</x:f>
        <x:v>45839</x:v>
      </x:c>
      <x:c r="F305" s="189" t="n">
        <x:f>IF(G305="definiert",IF('Stationen Abfrage dataprocessor'!$T$65="Studienende",'Stationen Abfrage dataprocessor'!$H$65+1,MIN('Stationen Abfrage dataprocessor'!$F$65,'Stationen Abfrage dataprocessor'!$H$65+1)),"")</x:f>
        <x:v>46045</x:v>
      </x:c>
      <x:c r="G305" s="182" t="str">
        <x:f>IF(D305="nein","nicht_anwendbar",IF(D305&lt;&gt;"ja","Konfiguration fehlt",IF(OR(NOT(ISNUMBER('Stationen Abfrage dataprocessor'!$E$65)),NOT(ISNUMBER('Stationen Abfrage dataprocessor'!$H$65)),AND('Stationen Abfrage dataprocessor'!$T$65&lt;&gt;"Phasengrenze",'Stationen Abfrage dataprocessor'!$T$65&lt;&gt;"Studienende"),AND('Stationen Abfrage dataprocessor'!$T$65="Phasengrenze",NOT(ISNUMBER('Stationen Abfrage dataprocessor'!$F$65)))),"Konfiguration fehlt",IF((IF('Stationen Abfrage dataprocessor'!$T$65="Studienende",'Stationen Abfrage dataprocessor'!$H$65+1,MIN('Stationen Abfrage dataprocessor'!$F$65,'Stationen Abfrage dataprocessor'!$H$65+1)))&lt;=('Stationen Abfrage dataprocessor'!$E$65),"kein_beobachtetes_fenster","definiert"))))</x:f>
        <x:v>definiert</x:v>
      </x:c>
      <x:c r="H305" s="182" t="str">
        <x:v>nein</x:v>
      </x:c>
      <x:c r="I305" s="182" t="str">
        <x:v>nein</x:v>
      </x:c>
      <x:c r="J305" s="182" t="str">
        <x:f>"nicht Voraussetzung"</x:f>
        <x:v>nicht Voraussetzung</x:v>
      </x:c>
      <x:c r="K305" s="190" t="n">
        <x:f>IF(G305="definiert",F305-E305,"")</x:f>
        <x:v>206</x:v>
      </x:c>
      <x:c r="L305" s="182" t="n">
        <x:v>65</x:v>
      </x:c>
      <x:c r="M305" s="182" t="str">
        <x:f>IF('Stationen Abfrage dataprocessor'!$K$65="","",'Stationen Abfrage dataprocessor'!$K$65)</x:f>
      </x:c>
      <x:c r="N305" s="182" t="str">
        <x:f>Definitionen!$B$2</x:f>
        <x:v>IP-COHORT-2026-10-28-01</x:v>
      </x:c>
    </x:row>
    <x:row r="306" ht="30" customHeight="1">
      <x:c r="A306" s="182" t="str">
        <x:f>'Stationen Abfrage dataprocessor'!$A$65</x:f>
        <x:v>UK Leipzig</x:v>
      </x:c>
      <x:c r="B306" s="182" t="str">
        <x:f>'Stationen Abfrage dataprocessor'!$D$65</x:f>
        <x:v>J01-2</x:v>
      </x:c>
      <x:c r="C306" s="182" t="str">
        <x:v>CRS-A</x:v>
      </x:c>
      <x:c r="D306" s="182" t="str">
        <x:f>'Stationen Abfrage dataprocessor'!$N$65</x:f>
        <x:v>ja</x:v>
      </x:c>
      <x:c r="E306" s="189" t="n">
        <x:f>IF(G306="definiert",MAX('Stationen Abfrage dataprocessor'!$E$65,'Stationen Abfrage dataprocessor'!$F$65),"")</x:f>
        <x:v>46045</x:v>
      </x:c>
      <x:c r="F306" s="189" t="n">
        <x:f>IF(G306="definiert",MIN('Stationen Abfrage dataprocessor'!$G$65,'Stationen Abfrage dataprocessor'!$H$65+1),"")</x:f>
        <x:v>46101</x:v>
      </x:c>
      <x:c r="G306" s="182" t="str">
        <x:f>IF(D306="nein","nicht_anwendbar",IF(D306&lt;&gt;"ja","Konfiguration fehlt",IF(OR(NOT(ISNUMBER('Stationen Abfrage dataprocessor'!$E$65)),NOT(ISNUMBER('Stationen Abfrage dataprocessor'!$F$65)),NOT(ISNUMBER('Stationen Abfrage dataprocessor'!$G$65)),NOT(ISNUMBER('Stationen Abfrage dataprocessor'!$H$65))),"Konfiguration fehlt",IF((MIN('Stationen Abfrage dataprocessor'!$G$65,'Stationen Abfrage dataprocessor'!$H$65+1))&lt;=(MAX('Stationen Abfrage dataprocessor'!$E$65,'Stationen Abfrage dataprocessor'!$F$65)),"kein_beobachtetes_fenster","definiert"))))</x:f>
        <x:v>definiert</x:v>
      </x:c>
      <x:c r="H306" s="182" t="str">
        <x:v>nein</x:v>
      </x:c>
      <x:c r="I306" s="182" t="str">
        <x:v>nein</x:v>
      </x:c>
      <x:c r="J306" s="182" t="str">
        <x:f>"nicht Voraussetzung"</x:f>
        <x:v>nicht Voraussetzung</x:v>
      </x:c>
      <x:c r="K306" s="190" t="n">
        <x:f>IF(G306="definiert",F306-E306,"")</x:f>
        <x:v>56</x:v>
      </x:c>
      <x:c r="L306" s="182" t="n">
        <x:v>65</x:v>
      </x:c>
      <x:c r="M306" s="182" t="str">
        <x:f>IF('Stationen Abfrage dataprocessor'!$K$65="","",'Stationen Abfrage dataprocessor'!$K$65)</x:f>
      </x:c>
      <x:c r="N306" s="182" t="str">
        <x:f>Definitionen!$B$2</x:f>
        <x:v>IP-COHORT-2026-10-28-01</x:v>
      </x:c>
    </x:row>
    <x:row r="307" ht="30" customHeight="1">
      <x:c r="A307" s="182" t="str">
        <x:f>'Stationen Abfrage dataprocessor'!$A$65</x:f>
        <x:v>UK Leipzig</x:v>
      </x:c>
      <x:c r="B307" s="182" t="str">
        <x:f>'Stationen Abfrage dataprocessor'!$D$65</x:f>
        <x:v>J01-2</x:v>
      </x:c>
      <x:c r="C307" s="182" t="str">
        <x:v>CRS-B</x:v>
      </x:c>
      <x:c r="D307" s="182" t="str">
        <x:f>'Stationen Abfrage dataprocessor'!$O$65</x:f>
        <x:v>ja</x:v>
      </x:c>
      <x:c r="E307" s="189" t="n">
        <x:f>IF(G307="definiert",MAX('Stationen Abfrage dataprocessor'!$E$65,'Stationen Abfrage dataprocessor'!$G$65),"")</x:f>
        <x:v>46101</x:v>
      </x:c>
      <x:c r="F307" s="189" t="n">
        <x:f>IF(G307="definiert",'Stationen Abfrage dataprocessor'!$H$65+1,"")</x:f>
        <x:v>46266</x:v>
      </x:c>
      <x:c r="G307" s="182" t="str">
        <x:f>IF(D307="nein","nicht_anwendbar",IF(D307&lt;&gt;"ja","Konfiguration fehlt",IF(OR(NOT(ISNUMBER('Stationen Abfrage dataprocessor'!$E$65)),NOT(ISNUMBER('Stationen Abfrage dataprocessor'!$G$65)),NOT(ISNUMBER('Stationen Abfrage dataprocessor'!$H$65))),"Konfiguration fehlt",IF(('Stationen Abfrage dataprocessor'!$H$65+1)&lt;=(MAX('Stationen Abfrage dataprocessor'!$E$65,'Stationen Abfrage dataprocessor'!$G$65)),"kein_beobachtetes_fenster","definiert"))))</x:f>
        <x:v>definiert</x:v>
      </x:c>
      <x:c r="H307" s="182" t="str">
        <x:v>nein</x:v>
      </x:c>
      <x:c r="I307" s="182" t="str">
        <x:v>nein</x:v>
      </x:c>
      <x:c r="J307" s="182" t="str">
        <x:f>'Stationen Abfrage dataprocessor'!$S$65</x:f>
        <x:v>fallbezogen prüfen</x:v>
      </x:c>
      <x:c r="K307" s="190" t="n">
        <x:f>IF(G307="definiert",F307-E307,"")</x:f>
        <x:v>165</x:v>
      </x:c>
      <x:c r="L307" s="182" t="n">
        <x:v>65</x:v>
      </x:c>
      <x:c r="M307" s="182" t="str">
        <x:f>IF('Stationen Abfrage dataprocessor'!$K$65="","",'Stationen Abfrage dataprocessor'!$K$65)</x:f>
      </x:c>
      <x:c r="N307" s="182" t="str">
        <x:f>Definitionen!$B$2</x:f>
        <x:v>IP-COHORT-2026-10-28-01</x:v>
      </x:c>
    </x:row>
    <x:row r="308" ht="30" customHeight="1">
      <x:c r="A308" s="182" t="str">
        <x:f>'Stationen Abfrage dataprocessor'!$A$65</x:f>
        <x:v>UK Leipzig</x:v>
      </x:c>
      <x:c r="B308" s="182" t="str">
        <x:f>'Stationen Abfrage dataprocessor'!$D$65</x:f>
        <x:v>J01-2</x:v>
      </x:c>
      <x:c r="C308" s="182" t="str">
        <x:v>RES</x:v>
      </x:c>
      <x:c r="D308" s="182" t="str">
        <x:f>'Stationen Abfrage dataprocessor'!$P$65</x:f>
        <x:v>ja</x:v>
      </x:c>
      <x:c r="E308" s="189" t="n">
        <x:f>IF(G308="definiert",MAX('Stationen Abfrage dataprocessor'!$E$65,'Stationen Abfrage dataprocessor'!$G$65),"")</x:f>
        <x:v>46101</x:v>
      </x:c>
      <x:c r="F308" s="189" t="n">
        <x:f>IF(G308="definiert",'Stationen Abfrage dataprocessor'!$H$65+1,"")</x:f>
        <x:v>46266</x:v>
      </x:c>
      <x:c r="G308" s="182" t="str">
        <x:f>IF(D308="nein","nicht_anwendbar",IF(D308&lt;&gt;"ja","Konfiguration fehlt",IF(OR(NOT(ISNUMBER('Stationen Abfrage dataprocessor'!$E$65)),NOT(ISNUMBER('Stationen Abfrage dataprocessor'!$G$65)),NOT(ISNUMBER('Stationen Abfrage dataprocessor'!$H$65))),"Konfiguration fehlt",IF(('Stationen Abfrage dataprocessor'!$H$65+1)&lt;=(MAX('Stationen Abfrage dataprocessor'!$E$65,'Stationen Abfrage dataprocessor'!$G$65)),"kein_beobachtetes_fenster","definiert"))))</x:f>
        <x:v>definiert</x:v>
      </x:c>
      <x:c r="H308" s="182" t="str">
        <x:v>ja</x:v>
      </x:c>
      <x:c r="I308" s="182" t="str">
        <x:v>ja</x:v>
      </x:c>
      <x:c r="J308" s="182" t="str">
        <x:f>'Stationen Abfrage dataprocessor'!$S$65</x:f>
        <x:v>fallbezogen prüfen</x:v>
      </x:c>
      <x:c r="K308" s="190" t="n">
        <x:f>IF(G308="definiert",F308-E308,"")</x:f>
        <x:v>165</x:v>
      </x:c>
      <x:c r="L308" s="182" t="n">
        <x:v>65</x:v>
      </x:c>
      <x:c r="M308" s="182" t="str">
        <x:f>IF('Stationen Abfrage dataprocessor'!$K$65="","",'Stationen Abfrage dataprocessor'!$K$65)</x:f>
      </x:c>
      <x:c r="N308" s="182" t="str">
        <x:f>Definitionen!$B$2</x:f>
        <x:v>IP-COHORT-2026-10-28-01</x:v>
      </x:c>
    </x:row>
    <x:row r="309" ht="30" customHeight="1">
      <x:c r="A309" s="182" t="str">
        <x:f>'Stationen Abfrage dataprocessor'!$A$65</x:f>
        <x:v>UK Leipzig</x:v>
      </x:c>
      <x:c r="B309" s="182" t="str">
        <x:f>'Stationen Abfrage dataprocessor'!$D$65</x:f>
        <x:v>J01-2</x:v>
      </x:c>
      <x:c r="C309" s="182" t="str">
        <x:v>TRS</x:v>
      </x:c>
      <x:c r="D309" s="182" t="str">
        <x:f>'Stationen Abfrage dataprocessor'!$Q$65</x:f>
        <x:v>ja</x:v>
      </x:c>
      <x:c r="E309" s="189" t="n">
        <x:f>IF(G309="definiert",'Stationen Abfrage dataprocessor'!$E$65,"")</x:f>
        <x:v>45839</x:v>
      </x:c>
      <x:c r="F309" s="189" t="n">
        <x:f>IF(G309="definiert",'Stationen Abfrage dataprocessor'!$H$65+1,"")</x:f>
        <x:v>46266</x:v>
      </x:c>
      <x:c r="G309" s="182" t="str">
        <x:f>IF(D309="nein","nicht_anwendbar",IF(D309&lt;&gt;"ja","Konfiguration fehlt",IF(OR(NOT(ISNUMBER('Stationen Abfrage dataprocessor'!$E$65)),NOT(ISNUMBER('Stationen Abfrage dataprocessor'!$H$65))),"Konfiguration fehlt",IF(('Stationen Abfrage dataprocessor'!$H$65+1)&lt;=('Stationen Abfrage dataprocessor'!$E$65),"kein_beobachtetes_fenster","definiert"))))</x:f>
        <x:v>definiert</x:v>
      </x:c>
      <x:c r="H309" s="182" t="str">
        <x:v>ja</x:v>
      </x:c>
      <x:c r="I309" s="182" t="str">
        <x:v>nein</x:v>
      </x:c>
      <x:c r="J309" s="182" t="str">
        <x:f>"nicht Voraussetzung"</x:f>
        <x:v>nicht Voraussetzung</x:v>
      </x:c>
      <x:c r="K309" s="190" t="n">
        <x:f>IF(G309="definiert",F309-E309,"")</x:f>
        <x:v>427</x:v>
      </x:c>
      <x:c r="L309" s="182" t="n">
        <x:v>65</x:v>
      </x:c>
      <x:c r="M309" s="182" t="str">
        <x:f>IF('Stationen Abfrage dataprocessor'!$K$65="","",'Stationen Abfrage dataprocessor'!$K$65)</x:f>
      </x:c>
      <x:c r="N309" s="182" t="str">
        <x:f>Definitionen!$B$2</x:f>
        <x:v>IP-COHORT-2026-10-28-01</x:v>
      </x:c>
    </x:row>
    <x:row r="310" ht="30" customHeight="1">
      <x:c r="A310" s="182" t="str">
        <x:f>'Stationen Abfrage dataprocessor'!$A$66</x:f>
        <x:v>UK Leipzig</x:v>
      </x:c>
      <x:c r="B310" s="182" t="str">
        <x:f>'Stationen Abfrage dataprocessor'!$D$66</x:f>
        <x:v>F04-1</x:v>
      </x:c>
      <x:c r="C310" s="182" t="str">
        <x:v>BS</x:v>
      </x:c>
      <x:c r="D310" s="182" t="str">
        <x:f>'Stationen Abfrage dataprocessor'!$M$66</x:f>
        <x:v>ja</x:v>
      </x:c>
      <x:c r="E310" s="189" t="n">
        <x:f>IF(G310="definiert",'Stationen Abfrage dataprocessor'!$E$66,"")</x:f>
        <x:v>45839</x:v>
      </x:c>
      <x:c r="F310" s="189" t="n">
        <x:f>IF(G310="definiert",IF('Stationen Abfrage dataprocessor'!$T$66="Studienende",'Stationen Abfrage dataprocessor'!$H$66+1,MIN('Stationen Abfrage dataprocessor'!$F$66,'Stationen Abfrage dataprocessor'!$H$66+1)),"")</x:f>
        <x:v>46045</x:v>
      </x:c>
      <x:c r="G310" s="182" t="str">
        <x:f>IF(D310="nein","nicht_anwendbar",IF(D310&lt;&gt;"ja","Konfiguration fehlt",IF(OR(NOT(ISNUMBER('Stationen Abfrage dataprocessor'!$E$66)),NOT(ISNUMBER('Stationen Abfrage dataprocessor'!$H$66)),AND('Stationen Abfrage dataprocessor'!$T$66&lt;&gt;"Phasengrenze",'Stationen Abfrage dataprocessor'!$T$66&lt;&gt;"Studienende"),AND('Stationen Abfrage dataprocessor'!$T$66="Phasengrenze",NOT(ISNUMBER('Stationen Abfrage dataprocessor'!$F$66)))),"Konfiguration fehlt",IF((IF('Stationen Abfrage dataprocessor'!$T$66="Studienende",'Stationen Abfrage dataprocessor'!$H$66+1,MIN('Stationen Abfrage dataprocessor'!$F$66,'Stationen Abfrage dataprocessor'!$H$66+1)))&lt;=('Stationen Abfrage dataprocessor'!$E$66),"kein_beobachtetes_fenster","definiert"))))</x:f>
        <x:v>definiert</x:v>
      </x:c>
      <x:c r="H310" s="182" t="str">
        <x:v>nein</x:v>
      </x:c>
      <x:c r="I310" s="182" t="str">
        <x:v>nein</x:v>
      </x:c>
      <x:c r="J310" s="182" t="str">
        <x:f>"nicht Voraussetzung"</x:f>
        <x:v>nicht Voraussetzung</x:v>
      </x:c>
      <x:c r="K310" s="190" t="n">
        <x:f>IF(G310="definiert",F310-E310,"")</x:f>
        <x:v>206</x:v>
      </x:c>
      <x:c r="L310" s="182" t="n">
        <x:v>66</x:v>
      </x:c>
      <x:c r="M310" s="182" t="str">
        <x:f>IF('Stationen Abfrage dataprocessor'!$K$66="","",'Stationen Abfrage dataprocessor'!$K$66)</x:f>
      </x:c>
      <x:c r="N310" s="182" t="str">
        <x:f>Definitionen!$B$2</x:f>
        <x:v>IP-COHORT-2026-10-28-01</x:v>
      </x:c>
    </x:row>
    <x:row r="311" ht="30" customHeight="1">
      <x:c r="A311" s="182" t="str">
        <x:f>'Stationen Abfrage dataprocessor'!$A$66</x:f>
        <x:v>UK Leipzig</x:v>
      </x:c>
      <x:c r="B311" s="182" t="str">
        <x:f>'Stationen Abfrage dataprocessor'!$D$66</x:f>
        <x:v>F04-1</x:v>
      </x:c>
      <x:c r="C311" s="182" t="str">
        <x:v>CRS-A</x:v>
      </x:c>
      <x:c r="D311" s="182" t="str">
        <x:f>'Stationen Abfrage dataprocessor'!$N$66</x:f>
        <x:v>ja</x:v>
      </x:c>
      <x:c r="E311" s="189" t="n">
        <x:f>IF(G311="definiert",MAX('Stationen Abfrage dataprocessor'!$E$66,'Stationen Abfrage dataprocessor'!$F$66),"")</x:f>
        <x:v>46045</x:v>
      </x:c>
      <x:c r="F311" s="189" t="n">
        <x:f>IF(G311="definiert",MIN('Stationen Abfrage dataprocessor'!$G$66,'Stationen Abfrage dataprocessor'!$H$66+1),"")</x:f>
        <x:v>46129</x:v>
      </x:c>
      <x:c r="G311" s="182" t="str">
        <x:f>IF(D311="nein","nicht_anwendbar",IF(D311&lt;&gt;"ja","Konfiguration fehlt",IF(OR(NOT(ISNUMBER('Stationen Abfrage dataprocessor'!$E$66)),NOT(ISNUMBER('Stationen Abfrage dataprocessor'!$F$66)),NOT(ISNUMBER('Stationen Abfrage dataprocessor'!$G$66)),NOT(ISNUMBER('Stationen Abfrage dataprocessor'!$H$66))),"Konfiguration fehlt",IF((MIN('Stationen Abfrage dataprocessor'!$G$66,'Stationen Abfrage dataprocessor'!$H$66+1))&lt;=(MAX('Stationen Abfrage dataprocessor'!$E$66,'Stationen Abfrage dataprocessor'!$F$66)),"kein_beobachtetes_fenster","definiert"))))</x:f>
        <x:v>definiert</x:v>
      </x:c>
      <x:c r="H311" s="182" t="str">
        <x:v>nein</x:v>
      </x:c>
      <x:c r="I311" s="182" t="str">
        <x:v>nein</x:v>
      </x:c>
      <x:c r="J311" s="182" t="str">
        <x:f>"nicht Voraussetzung"</x:f>
        <x:v>nicht Voraussetzung</x:v>
      </x:c>
      <x:c r="K311" s="190" t="n">
        <x:f>IF(G311="definiert",F311-E311,"")</x:f>
        <x:v>84</x:v>
      </x:c>
      <x:c r="L311" s="182" t="n">
        <x:v>66</x:v>
      </x:c>
      <x:c r="M311" s="182" t="str">
        <x:f>IF('Stationen Abfrage dataprocessor'!$K$66="","",'Stationen Abfrage dataprocessor'!$K$66)</x:f>
      </x:c>
      <x:c r="N311" s="182" t="str">
        <x:f>Definitionen!$B$2</x:f>
        <x:v>IP-COHORT-2026-10-28-01</x:v>
      </x:c>
    </x:row>
    <x:row r="312" ht="30" customHeight="1">
      <x:c r="A312" s="182" t="str">
        <x:f>'Stationen Abfrage dataprocessor'!$A$66</x:f>
        <x:v>UK Leipzig</x:v>
      </x:c>
      <x:c r="B312" s="182" t="str">
        <x:f>'Stationen Abfrage dataprocessor'!$D$66</x:f>
        <x:v>F04-1</x:v>
      </x:c>
      <x:c r="C312" s="182" t="str">
        <x:v>CRS-B</x:v>
      </x:c>
      <x:c r="D312" s="182" t="str">
        <x:f>'Stationen Abfrage dataprocessor'!$O$66</x:f>
        <x:v>ja</x:v>
      </x:c>
      <x:c r="E312" s="189" t="n">
        <x:f>IF(G312="definiert",MAX('Stationen Abfrage dataprocessor'!$E$66,'Stationen Abfrage dataprocessor'!$G$66),"")</x:f>
        <x:v>46129</x:v>
      </x:c>
      <x:c r="F312" s="189" t="n">
        <x:f>IF(G312="definiert",'Stationen Abfrage dataprocessor'!$H$66+1,"")</x:f>
        <x:v>46266</x:v>
      </x:c>
      <x:c r="G312" s="182" t="str">
        <x:f>IF(D312="nein","nicht_anwendbar",IF(D312&lt;&gt;"ja","Konfiguration fehlt",IF(OR(NOT(ISNUMBER('Stationen Abfrage dataprocessor'!$E$66)),NOT(ISNUMBER('Stationen Abfrage dataprocessor'!$G$66)),NOT(ISNUMBER('Stationen Abfrage dataprocessor'!$H$66))),"Konfiguration fehlt",IF(('Stationen Abfrage dataprocessor'!$H$66+1)&lt;=(MAX('Stationen Abfrage dataprocessor'!$E$66,'Stationen Abfrage dataprocessor'!$G$66)),"kein_beobachtetes_fenster","definiert"))))</x:f>
        <x:v>definiert</x:v>
      </x:c>
      <x:c r="H312" s="182" t="str">
        <x:v>nein</x:v>
      </x:c>
      <x:c r="I312" s="182" t="str">
        <x:v>nein</x:v>
      </x:c>
      <x:c r="J312" s="182" t="str">
        <x:f>'Stationen Abfrage dataprocessor'!$S$66</x:f>
        <x:v>fallbezogen prüfen</x:v>
      </x:c>
      <x:c r="K312" s="190" t="n">
        <x:f>IF(G312="definiert",F312-E312,"")</x:f>
        <x:v>137</x:v>
      </x:c>
      <x:c r="L312" s="182" t="n">
        <x:v>66</x:v>
      </x:c>
      <x:c r="M312" s="182" t="str">
        <x:f>IF('Stationen Abfrage dataprocessor'!$K$66="","",'Stationen Abfrage dataprocessor'!$K$66)</x:f>
      </x:c>
      <x:c r="N312" s="182" t="str">
        <x:f>Definitionen!$B$2</x:f>
        <x:v>IP-COHORT-2026-10-28-01</x:v>
      </x:c>
    </x:row>
    <x:row r="313" ht="30" customHeight="1">
      <x:c r="A313" s="182" t="str">
        <x:f>'Stationen Abfrage dataprocessor'!$A$66</x:f>
        <x:v>UK Leipzig</x:v>
      </x:c>
      <x:c r="B313" s="182" t="str">
        <x:f>'Stationen Abfrage dataprocessor'!$D$66</x:f>
        <x:v>F04-1</x:v>
      </x:c>
      <x:c r="C313" s="182" t="str">
        <x:v>RES</x:v>
      </x:c>
      <x:c r="D313" s="182" t="str">
        <x:f>'Stationen Abfrage dataprocessor'!$P$66</x:f>
        <x:v>ja</x:v>
      </x:c>
      <x:c r="E313" s="189" t="n">
        <x:f>IF(G313="definiert",MAX('Stationen Abfrage dataprocessor'!$E$66,'Stationen Abfrage dataprocessor'!$G$66),"")</x:f>
        <x:v>46129</x:v>
      </x:c>
      <x:c r="F313" s="189" t="n">
        <x:f>IF(G313="definiert",'Stationen Abfrage dataprocessor'!$H$66+1,"")</x:f>
        <x:v>46266</x:v>
      </x:c>
      <x:c r="G313" s="182" t="str">
        <x:f>IF(D313="nein","nicht_anwendbar",IF(D313&lt;&gt;"ja","Konfiguration fehlt",IF(OR(NOT(ISNUMBER('Stationen Abfrage dataprocessor'!$E$66)),NOT(ISNUMBER('Stationen Abfrage dataprocessor'!$G$66)),NOT(ISNUMBER('Stationen Abfrage dataprocessor'!$H$66))),"Konfiguration fehlt",IF(('Stationen Abfrage dataprocessor'!$H$66+1)&lt;=(MAX('Stationen Abfrage dataprocessor'!$E$66,'Stationen Abfrage dataprocessor'!$G$66)),"kein_beobachtetes_fenster","definiert"))))</x:f>
        <x:v>definiert</x:v>
      </x:c>
      <x:c r="H313" s="182" t="str">
        <x:v>ja</x:v>
      </x:c>
      <x:c r="I313" s="182" t="str">
        <x:v>ja</x:v>
      </x:c>
      <x:c r="J313" s="182" t="str">
        <x:f>'Stationen Abfrage dataprocessor'!$S$66</x:f>
        <x:v>fallbezogen prüfen</x:v>
      </x:c>
      <x:c r="K313" s="190" t="n">
        <x:f>IF(G313="definiert",F313-E313,"")</x:f>
        <x:v>137</x:v>
      </x:c>
      <x:c r="L313" s="182" t="n">
        <x:v>66</x:v>
      </x:c>
      <x:c r="M313" s="182" t="str">
        <x:f>IF('Stationen Abfrage dataprocessor'!$K$66="","",'Stationen Abfrage dataprocessor'!$K$66)</x:f>
      </x:c>
      <x:c r="N313" s="182" t="str">
        <x:f>Definitionen!$B$2</x:f>
        <x:v>IP-COHORT-2026-10-28-01</x:v>
      </x:c>
    </x:row>
    <x:row r="314" ht="30" customHeight="1">
      <x:c r="A314" s="182" t="str">
        <x:f>'Stationen Abfrage dataprocessor'!$A$66</x:f>
        <x:v>UK Leipzig</x:v>
      </x:c>
      <x:c r="B314" s="182" t="str">
        <x:f>'Stationen Abfrage dataprocessor'!$D$66</x:f>
        <x:v>F04-1</x:v>
      </x:c>
      <x:c r="C314" s="182" t="str">
        <x:v>TRS</x:v>
      </x:c>
      <x:c r="D314" s="182" t="str">
        <x:f>'Stationen Abfrage dataprocessor'!$Q$66</x:f>
        <x:v>ja</x:v>
      </x:c>
      <x:c r="E314" s="189" t="n">
        <x:f>IF(G314="definiert",'Stationen Abfrage dataprocessor'!$E$66,"")</x:f>
        <x:v>45839</x:v>
      </x:c>
      <x:c r="F314" s="189" t="n">
        <x:f>IF(G314="definiert",'Stationen Abfrage dataprocessor'!$H$66+1,"")</x:f>
        <x:v>46266</x:v>
      </x:c>
      <x:c r="G314" s="182" t="str">
        <x:f>IF(D314="nein","nicht_anwendbar",IF(D314&lt;&gt;"ja","Konfiguration fehlt",IF(OR(NOT(ISNUMBER('Stationen Abfrage dataprocessor'!$E$66)),NOT(ISNUMBER('Stationen Abfrage dataprocessor'!$H$66))),"Konfiguration fehlt",IF(('Stationen Abfrage dataprocessor'!$H$66+1)&lt;=('Stationen Abfrage dataprocessor'!$E$66),"kein_beobachtetes_fenster","definiert"))))</x:f>
        <x:v>definiert</x:v>
      </x:c>
      <x:c r="H314" s="182" t="str">
        <x:v>ja</x:v>
      </x:c>
      <x:c r="I314" s="182" t="str">
        <x:v>nein</x:v>
      </x:c>
      <x:c r="J314" s="182" t="str">
        <x:f>"nicht Voraussetzung"</x:f>
        <x:v>nicht Voraussetzung</x:v>
      </x:c>
      <x:c r="K314" s="190" t="n">
        <x:f>IF(G314="definiert",F314-E314,"")</x:f>
        <x:v>427</x:v>
      </x:c>
      <x:c r="L314" s="182" t="n">
        <x:v>66</x:v>
      </x:c>
      <x:c r="M314" s="182" t="str">
        <x:f>IF('Stationen Abfrage dataprocessor'!$K$66="","",'Stationen Abfrage dataprocessor'!$K$66)</x:f>
      </x:c>
      <x:c r="N314" s="182" t="str">
        <x:f>Definitionen!$B$2</x:f>
        <x:v>IP-COHORT-2026-10-28-01</x:v>
      </x:c>
    </x:row>
    <x:row r="315" ht="30" customHeight="1">
      <x:c r="A315" s="182" t="str">
        <x:f>'Stationen Abfrage dataprocessor'!$A$67</x:f>
        <x:v>UK Leipzig</x:v>
      </x:c>
      <x:c r="B315" s="182" t="str">
        <x:f>'Stationen Abfrage dataprocessor'!$D$67</x:f>
        <x:v>F04-2</x:v>
      </x:c>
      <x:c r="C315" s="182" t="str">
        <x:v>BS</x:v>
      </x:c>
      <x:c r="D315" s="182" t="str">
        <x:f>'Stationen Abfrage dataprocessor'!$M$67</x:f>
        <x:v>ja</x:v>
      </x:c>
      <x:c r="E315" s="189" t="n">
        <x:f>IF(G315="definiert",'Stationen Abfrage dataprocessor'!$E$67,"")</x:f>
        <x:v>45839</x:v>
      </x:c>
      <x:c r="F315" s="189" t="n">
        <x:f>IF(G315="definiert",IF('Stationen Abfrage dataprocessor'!$T$67="Studienende",'Stationen Abfrage dataprocessor'!$H$67+1,MIN('Stationen Abfrage dataprocessor'!$F$67,'Stationen Abfrage dataprocessor'!$H$67+1)),"")</x:f>
        <x:v>46045</x:v>
      </x:c>
      <x:c r="G315" s="182" t="str">
        <x:f>IF(D315="nein","nicht_anwendbar",IF(D315&lt;&gt;"ja","Konfiguration fehlt",IF(OR(NOT(ISNUMBER('Stationen Abfrage dataprocessor'!$E$67)),NOT(ISNUMBER('Stationen Abfrage dataprocessor'!$H$67)),AND('Stationen Abfrage dataprocessor'!$T$67&lt;&gt;"Phasengrenze",'Stationen Abfrage dataprocessor'!$T$67&lt;&gt;"Studienende"),AND('Stationen Abfrage dataprocessor'!$T$67="Phasengrenze",NOT(ISNUMBER('Stationen Abfrage dataprocessor'!$F$67)))),"Konfiguration fehlt",IF((IF('Stationen Abfrage dataprocessor'!$T$67="Studienende",'Stationen Abfrage dataprocessor'!$H$67+1,MIN('Stationen Abfrage dataprocessor'!$F$67,'Stationen Abfrage dataprocessor'!$H$67+1)))&lt;=('Stationen Abfrage dataprocessor'!$E$67),"kein_beobachtetes_fenster","definiert"))))</x:f>
        <x:v>definiert</x:v>
      </x:c>
      <x:c r="H315" s="182" t="str">
        <x:v>nein</x:v>
      </x:c>
      <x:c r="I315" s="182" t="str">
        <x:v>nein</x:v>
      </x:c>
      <x:c r="J315" s="182" t="str">
        <x:f>"nicht Voraussetzung"</x:f>
        <x:v>nicht Voraussetzung</x:v>
      </x:c>
      <x:c r="K315" s="190" t="n">
        <x:f>IF(G315="definiert",F315-E315,"")</x:f>
        <x:v>206</x:v>
      </x:c>
      <x:c r="L315" s="182" t="n">
        <x:v>67</x:v>
      </x:c>
      <x:c r="M315" s="182" t="str">
        <x:f>IF('Stationen Abfrage dataprocessor'!$K$67="","",'Stationen Abfrage dataprocessor'!$K$67)</x:f>
      </x:c>
      <x:c r="N315" s="182" t="str">
        <x:f>Definitionen!$B$2</x:f>
        <x:v>IP-COHORT-2026-10-28-01</x:v>
      </x:c>
    </x:row>
    <x:row r="316" ht="30" customHeight="1">
      <x:c r="A316" s="182" t="str">
        <x:f>'Stationen Abfrage dataprocessor'!$A$67</x:f>
        <x:v>UK Leipzig</x:v>
      </x:c>
      <x:c r="B316" s="182" t="str">
        <x:f>'Stationen Abfrage dataprocessor'!$D$67</x:f>
        <x:v>F04-2</x:v>
      </x:c>
      <x:c r="C316" s="182" t="str">
        <x:v>CRS-A</x:v>
      </x:c>
      <x:c r="D316" s="182" t="str">
        <x:f>'Stationen Abfrage dataprocessor'!$N$67</x:f>
        <x:v>ja</x:v>
      </x:c>
      <x:c r="E316" s="189" t="n">
        <x:f>IF(G316="definiert",MAX('Stationen Abfrage dataprocessor'!$E$67,'Stationen Abfrage dataprocessor'!$F$67),"")</x:f>
        <x:v>46045</x:v>
      </x:c>
      <x:c r="F316" s="189" t="n">
        <x:f>IF(G316="definiert",MIN('Stationen Abfrage dataprocessor'!$G$67,'Stationen Abfrage dataprocessor'!$H$67+1),"")</x:f>
        <x:v>46157</x:v>
      </x:c>
      <x:c r="G316" s="182" t="str">
        <x:f>IF(D316="nein","nicht_anwendbar",IF(D316&lt;&gt;"ja","Konfiguration fehlt",IF(OR(NOT(ISNUMBER('Stationen Abfrage dataprocessor'!$E$67)),NOT(ISNUMBER('Stationen Abfrage dataprocessor'!$F$67)),NOT(ISNUMBER('Stationen Abfrage dataprocessor'!$G$67)),NOT(ISNUMBER('Stationen Abfrage dataprocessor'!$H$67))),"Konfiguration fehlt",IF((MIN('Stationen Abfrage dataprocessor'!$G$67,'Stationen Abfrage dataprocessor'!$H$67+1))&lt;=(MAX('Stationen Abfrage dataprocessor'!$E$67,'Stationen Abfrage dataprocessor'!$F$67)),"kein_beobachtetes_fenster","definiert"))))</x:f>
        <x:v>definiert</x:v>
      </x:c>
      <x:c r="H316" s="182" t="str">
        <x:v>nein</x:v>
      </x:c>
      <x:c r="I316" s="182" t="str">
        <x:v>nein</x:v>
      </x:c>
      <x:c r="J316" s="182" t="str">
        <x:f>"nicht Voraussetzung"</x:f>
        <x:v>nicht Voraussetzung</x:v>
      </x:c>
      <x:c r="K316" s="190" t="n">
        <x:f>IF(G316="definiert",F316-E316,"")</x:f>
        <x:v>112</x:v>
      </x:c>
      <x:c r="L316" s="182" t="n">
        <x:v>67</x:v>
      </x:c>
      <x:c r="M316" s="182" t="str">
        <x:f>IF('Stationen Abfrage dataprocessor'!$K$67="","",'Stationen Abfrage dataprocessor'!$K$67)</x:f>
      </x:c>
      <x:c r="N316" s="182" t="str">
        <x:f>Definitionen!$B$2</x:f>
        <x:v>IP-COHORT-2026-10-28-01</x:v>
      </x:c>
    </x:row>
    <x:row r="317" ht="30" customHeight="1">
      <x:c r="A317" s="182" t="str">
        <x:f>'Stationen Abfrage dataprocessor'!$A$67</x:f>
        <x:v>UK Leipzig</x:v>
      </x:c>
      <x:c r="B317" s="182" t="str">
        <x:f>'Stationen Abfrage dataprocessor'!$D$67</x:f>
        <x:v>F04-2</x:v>
      </x:c>
      <x:c r="C317" s="182" t="str">
        <x:v>CRS-B</x:v>
      </x:c>
      <x:c r="D317" s="182" t="str">
        <x:f>'Stationen Abfrage dataprocessor'!$O$67</x:f>
        <x:v>ja</x:v>
      </x:c>
      <x:c r="E317" s="189" t="n">
        <x:f>IF(G317="definiert",MAX('Stationen Abfrage dataprocessor'!$E$67,'Stationen Abfrage dataprocessor'!$G$67),"")</x:f>
        <x:v>46157</x:v>
      </x:c>
      <x:c r="F317" s="189" t="n">
        <x:f>IF(G317="definiert",'Stationen Abfrage dataprocessor'!$H$67+1,"")</x:f>
        <x:v>46266</x:v>
      </x:c>
      <x:c r="G317" s="182" t="str">
        <x:f>IF(D317="nein","nicht_anwendbar",IF(D317&lt;&gt;"ja","Konfiguration fehlt",IF(OR(NOT(ISNUMBER('Stationen Abfrage dataprocessor'!$E$67)),NOT(ISNUMBER('Stationen Abfrage dataprocessor'!$G$67)),NOT(ISNUMBER('Stationen Abfrage dataprocessor'!$H$67))),"Konfiguration fehlt",IF(('Stationen Abfrage dataprocessor'!$H$67+1)&lt;=(MAX('Stationen Abfrage dataprocessor'!$E$67,'Stationen Abfrage dataprocessor'!$G$67)),"kein_beobachtetes_fenster","definiert"))))</x:f>
        <x:v>definiert</x:v>
      </x:c>
      <x:c r="H317" s="182" t="str">
        <x:v>nein</x:v>
      </x:c>
      <x:c r="I317" s="182" t="str">
        <x:v>nein</x:v>
      </x:c>
      <x:c r="J317" s="182" t="str">
        <x:f>'Stationen Abfrage dataprocessor'!$S$67</x:f>
        <x:v>fallbezogen prüfen</x:v>
      </x:c>
      <x:c r="K317" s="190" t="n">
        <x:f>IF(G317="definiert",F317-E317,"")</x:f>
        <x:v>109</x:v>
      </x:c>
      <x:c r="L317" s="182" t="n">
        <x:v>67</x:v>
      </x:c>
      <x:c r="M317" s="182" t="str">
        <x:f>IF('Stationen Abfrage dataprocessor'!$K$67="","",'Stationen Abfrage dataprocessor'!$K$67)</x:f>
      </x:c>
      <x:c r="N317" s="182" t="str">
        <x:f>Definitionen!$B$2</x:f>
        <x:v>IP-COHORT-2026-10-28-01</x:v>
      </x:c>
    </x:row>
    <x:row r="318" ht="30" customHeight="1">
      <x:c r="A318" s="182" t="str">
        <x:f>'Stationen Abfrage dataprocessor'!$A$67</x:f>
        <x:v>UK Leipzig</x:v>
      </x:c>
      <x:c r="B318" s="182" t="str">
        <x:f>'Stationen Abfrage dataprocessor'!$D$67</x:f>
        <x:v>F04-2</x:v>
      </x:c>
      <x:c r="C318" s="182" t="str">
        <x:v>RES</x:v>
      </x:c>
      <x:c r="D318" s="182" t="str">
        <x:f>'Stationen Abfrage dataprocessor'!$P$67</x:f>
        <x:v>ja</x:v>
      </x:c>
      <x:c r="E318" s="189" t="n">
        <x:f>IF(G318="definiert",MAX('Stationen Abfrage dataprocessor'!$E$67,'Stationen Abfrage dataprocessor'!$G$67),"")</x:f>
        <x:v>46157</x:v>
      </x:c>
      <x:c r="F318" s="189" t="n">
        <x:f>IF(G318="definiert",'Stationen Abfrage dataprocessor'!$H$67+1,"")</x:f>
        <x:v>46266</x:v>
      </x:c>
      <x:c r="G318" s="182" t="str">
        <x:f>IF(D318="nein","nicht_anwendbar",IF(D318&lt;&gt;"ja","Konfiguration fehlt",IF(OR(NOT(ISNUMBER('Stationen Abfrage dataprocessor'!$E$67)),NOT(ISNUMBER('Stationen Abfrage dataprocessor'!$G$67)),NOT(ISNUMBER('Stationen Abfrage dataprocessor'!$H$67))),"Konfiguration fehlt",IF(('Stationen Abfrage dataprocessor'!$H$67+1)&lt;=(MAX('Stationen Abfrage dataprocessor'!$E$67,'Stationen Abfrage dataprocessor'!$G$67)),"kein_beobachtetes_fenster","definiert"))))</x:f>
        <x:v>definiert</x:v>
      </x:c>
      <x:c r="H318" s="182" t="str">
        <x:v>ja</x:v>
      </x:c>
      <x:c r="I318" s="182" t="str">
        <x:v>ja</x:v>
      </x:c>
      <x:c r="J318" s="182" t="str">
        <x:f>'Stationen Abfrage dataprocessor'!$S$67</x:f>
        <x:v>fallbezogen prüfen</x:v>
      </x:c>
      <x:c r="K318" s="190" t="n">
        <x:f>IF(G318="definiert",F318-E318,"")</x:f>
        <x:v>109</x:v>
      </x:c>
      <x:c r="L318" s="182" t="n">
        <x:v>67</x:v>
      </x:c>
      <x:c r="M318" s="182" t="str">
        <x:f>IF('Stationen Abfrage dataprocessor'!$K$67="","",'Stationen Abfrage dataprocessor'!$K$67)</x:f>
      </x:c>
      <x:c r="N318" s="182" t="str">
        <x:f>Definitionen!$B$2</x:f>
        <x:v>IP-COHORT-2026-10-28-01</x:v>
      </x:c>
    </x:row>
    <x:row r="319" ht="30" customHeight="1">
      <x:c r="A319" s="182" t="str">
        <x:f>'Stationen Abfrage dataprocessor'!$A$67</x:f>
        <x:v>UK Leipzig</x:v>
      </x:c>
      <x:c r="B319" s="182" t="str">
        <x:f>'Stationen Abfrage dataprocessor'!$D$67</x:f>
        <x:v>F04-2</x:v>
      </x:c>
      <x:c r="C319" s="182" t="str">
        <x:v>TRS</x:v>
      </x:c>
      <x:c r="D319" s="182" t="str">
        <x:f>'Stationen Abfrage dataprocessor'!$Q$67</x:f>
        <x:v>ja</x:v>
      </x:c>
      <x:c r="E319" s="189" t="n">
        <x:f>IF(G319="definiert",'Stationen Abfrage dataprocessor'!$E$67,"")</x:f>
        <x:v>45839</x:v>
      </x:c>
      <x:c r="F319" s="189" t="n">
        <x:f>IF(G319="definiert",'Stationen Abfrage dataprocessor'!$H$67+1,"")</x:f>
        <x:v>46266</x:v>
      </x:c>
      <x:c r="G319" s="182" t="str">
        <x:f>IF(D319="nein","nicht_anwendbar",IF(D319&lt;&gt;"ja","Konfiguration fehlt",IF(OR(NOT(ISNUMBER('Stationen Abfrage dataprocessor'!$E$67)),NOT(ISNUMBER('Stationen Abfrage dataprocessor'!$H$67))),"Konfiguration fehlt",IF(('Stationen Abfrage dataprocessor'!$H$67+1)&lt;=('Stationen Abfrage dataprocessor'!$E$67),"kein_beobachtetes_fenster","definiert"))))</x:f>
        <x:v>definiert</x:v>
      </x:c>
      <x:c r="H319" s="182" t="str">
        <x:v>ja</x:v>
      </x:c>
      <x:c r="I319" s="182" t="str">
        <x:v>nein</x:v>
      </x:c>
      <x:c r="J319" s="182" t="str">
        <x:f>"nicht Voraussetzung"</x:f>
        <x:v>nicht Voraussetzung</x:v>
      </x:c>
      <x:c r="K319" s="190" t="n">
        <x:f>IF(G319="definiert",F319-E319,"")</x:f>
        <x:v>427</x:v>
      </x:c>
      <x:c r="L319" s="182" t="n">
        <x:v>67</x:v>
      </x:c>
      <x:c r="M319" s="182" t="str">
        <x:f>IF('Stationen Abfrage dataprocessor'!$K$67="","",'Stationen Abfrage dataprocessor'!$K$67)</x:f>
      </x:c>
      <x:c r="N319" s="182" t="str">
        <x:f>Definitionen!$B$2</x:f>
        <x:v>IP-COHORT-2026-10-28-01</x:v>
      </x:c>
    </x:row>
    <x:row r="320" ht="30" customHeight="1">
      <x:c r="A320" s="182" t="str">
        <x:f>'Stationen Abfrage dataprocessor'!$A$68</x:f>
        <x:v>UK Leipzig</x:v>
      </x:c>
      <x:c r="B320" s="182" t="str">
        <x:f>'Stationen Abfrage dataprocessor'!$D$68</x:f>
        <x:v>F04-3</x:v>
      </x:c>
      <x:c r="C320" s="182" t="str">
        <x:v>BS</x:v>
      </x:c>
      <x:c r="D320" s="182" t="str">
        <x:f>'Stationen Abfrage dataprocessor'!$M$68</x:f>
        <x:v>ja</x:v>
      </x:c>
      <x:c r="E320" s="189" t="n">
        <x:f>IF(G320="definiert",'Stationen Abfrage dataprocessor'!$E$68,"")</x:f>
        <x:v>45839</x:v>
      </x:c>
      <x:c r="F320" s="189" t="n">
        <x:f>IF(G320="definiert",IF('Stationen Abfrage dataprocessor'!$T$68="Studienende",'Stationen Abfrage dataprocessor'!$H$68+1,MIN('Stationen Abfrage dataprocessor'!$F$68,'Stationen Abfrage dataprocessor'!$H$68+1)),"")</x:f>
        <x:v>46045</x:v>
      </x:c>
      <x:c r="G320" s="182" t="str">
        <x:f>IF(D320="nein","nicht_anwendbar",IF(D320&lt;&gt;"ja","Konfiguration fehlt",IF(OR(NOT(ISNUMBER('Stationen Abfrage dataprocessor'!$E$68)),NOT(ISNUMBER('Stationen Abfrage dataprocessor'!$H$68)),AND('Stationen Abfrage dataprocessor'!$T$68&lt;&gt;"Phasengrenze",'Stationen Abfrage dataprocessor'!$T$68&lt;&gt;"Studienende"),AND('Stationen Abfrage dataprocessor'!$T$68="Phasengrenze",NOT(ISNUMBER('Stationen Abfrage dataprocessor'!$F$68)))),"Konfiguration fehlt",IF((IF('Stationen Abfrage dataprocessor'!$T$68="Studienende",'Stationen Abfrage dataprocessor'!$H$68+1,MIN('Stationen Abfrage dataprocessor'!$F$68,'Stationen Abfrage dataprocessor'!$H$68+1)))&lt;=('Stationen Abfrage dataprocessor'!$E$68),"kein_beobachtetes_fenster","definiert"))))</x:f>
        <x:v>definiert</x:v>
      </x:c>
      <x:c r="H320" s="182" t="str">
        <x:v>nein</x:v>
      </x:c>
      <x:c r="I320" s="182" t="str">
        <x:v>nein</x:v>
      </x:c>
      <x:c r="J320" s="182" t="str">
        <x:f>"nicht Voraussetzung"</x:f>
        <x:v>nicht Voraussetzung</x:v>
      </x:c>
      <x:c r="K320" s="190" t="n">
        <x:f>IF(G320="definiert",F320-E320,"")</x:f>
        <x:v>206</x:v>
      </x:c>
      <x:c r="L320" s="182" t="n">
        <x:v>68</x:v>
      </x:c>
      <x:c r="M320" s="182" t="str">
        <x:f>IF('Stationen Abfrage dataprocessor'!$K$68="","",'Stationen Abfrage dataprocessor'!$K$68)</x:f>
      </x:c>
      <x:c r="N320" s="182" t="str">
        <x:f>Definitionen!$B$2</x:f>
        <x:v>IP-COHORT-2026-10-28-01</x:v>
      </x:c>
    </x:row>
    <x:row r="321" ht="30" customHeight="1">
      <x:c r="A321" s="182" t="str">
        <x:f>'Stationen Abfrage dataprocessor'!$A$68</x:f>
        <x:v>UK Leipzig</x:v>
      </x:c>
      <x:c r="B321" s="182" t="str">
        <x:f>'Stationen Abfrage dataprocessor'!$D$68</x:f>
        <x:v>F04-3</x:v>
      </x:c>
      <x:c r="C321" s="182" t="str">
        <x:v>CRS-A</x:v>
      </x:c>
      <x:c r="D321" s="182" t="str">
        <x:f>'Stationen Abfrage dataprocessor'!$N$68</x:f>
        <x:v>ja</x:v>
      </x:c>
      <x:c r="E321" s="189" t="n">
        <x:f>IF(G321="definiert",MAX('Stationen Abfrage dataprocessor'!$E$68,'Stationen Abfrage dataprocessor'!$F$68),"")</x:f>
        <x:v>46045</x:v>
      </x:c>
      <x:c r="F321" s="189" t="n">
        <x:f>IF(G321="definiert",MIN('Stationen Abfrage dataprocessor'!$G$68,'Stationen Abfrage dataprocessor'!$H$68+1),"")</x:f>
        <x:v>46185</x:v>
      </x:c>
      <x:c r="G321" s="182" t="str">
        <x:f>IF(D321="nein","nicht_anwendbar",IF(D321&lt;&gt;"ja","Konfiguration fehlt",IF(OR(NOT(ISNUMBER('Stationen Abfrage dataprocessor'!$E$68)),NOT(ISNUMBER('Stationen Abfrage dataprocessor'!$F$68)),NOT(ISNUMBER('Stationen Abfrage dataprocessor'!$G$68)),NOT(ISNUMBER('Stationen Abfrage dataprocessor'!$H$68))),"Konfiguration fehlt",IF((MIN('Stationen Abfrage dataprocessor'!$G$68,'Stationen Abfrage dataprocessor'!$H$68+1))&lt;=(MAX('Stationen Abfrage dataprocessor'!$E$68,'Stationen Abfrage dataprocessor'!$F$68)),"kein_beobachtetes_fenster","definiert"))))</x:f>
        <x:v>definiert</x:v>
      </x:c>
      <x:c r="H321" s="182" t="str">
        <x:v>nein</x:v>
      </x:c>
      <x:c r="I321" s="182" t="str">
        <x:v>nein</x:v>
      </x:c>
      <x:c r="J321" s="182" t="str">
        <x:f>"nicht Voraussetzung"</x:f>
        <x:v>nicht Voraussetzung</x:v>
      </x:c>
      <x:c r="K321" s="190" t="n">
        <x:f>IF(G321="definiert",F321-E321,"")</x:f>
        <x:v>140</x:v>
      </x:c>
      <x:c r="L321" s="182" t="n">
        <x:v>68</x:v>
      </x:c>
      <x:c r="M321" s="182" t="str">
        <x:f>IF('Stationen Abfrage dataprocessor'!$K$68="","",'Stationen Abfrage dataprocessor'!$K$68)</x:f>
      </x:c>
      <x:c r="N321" s="182" t="str">
        <x:f>Definitionen!$B$2</x:f>
        <x:v>IP-COHORT-2026-10-28-01</x:v>
      </x:c>
    </x:row>
    <x:row r="322" ht="30" customHeight="1">
      <x:c r="A322" s="182" t="str">
        <x:f>'Stationen Abfrage dataprocessor'!$A$68</x:f>
        <x:v>UK Leipzig</x:v>
      </x:c>
      <x:c r="B322" s="182" t="str">
        <x:f>'Stationen Abfrage dataprocessor'!$D$68</x:f>
        <x:v>F04-3</x:v>
      </x:c>
      <x:c r="C322" s="182" t="str">
        <x:v>CRS-B</x:v>
      </x:c>
      <x:c r="D322" s="182" t="str">
        <x:f>'Stationen Abfrage dataprocessor'!$O$68</x:f>
        <x:v>ja</x:v>
      </x:c>
      <x:c r="E322" s="189" t="n">
        <x:f>IF(G322="definiert",MAX('Stationen Abfrage dataprocessor'!$E$68,'Stationen Abfrage dataprocessor'!$G$68),"")</x:f>
        <x:v>46185</x:v>
      </x:c>
      <x:c r="F322" s="189" t="n">
        <x:f>IF(G322="definiert",'Stationen Abfrage dataprocessor'!$H$68+1,"")</x:f>
        <x:v>46266</x:v>
      </x:c>
      <x:c r="G322" s="182" t="str">
        <x:f>IF(D322="nein","nicht_anwendbar",IF(D322&lt;&gt;"ja","Konfiguration fehlt",IF(OR(NOT(ISNUMBER('Stationen Abfrage dataprocessor'!$E$68)),NOT(ISNUMBER('Stationen Abfrage dataprocessor'!$G$68)),NOT(ISNUMBER('Stationen Abfrage dataprocessor'!$H$68))),"Konfiguration fehlt",IF(('Stationen Abfrage dataprocessor'!$H$68+1)&lt;=(MAX('Stationen Abfrage dataprocessor'!$E$68,'Stationen Abfrage dataprocessor'!$G$68)),"kein_beobachtetes_fenster","definiert"))))</x:f>
        <x:v>definiert</x:v>
      </x:c>
      <x:c r="H322" s="182" t="str">
        <x:v>nein</x:v>
      </x:c>
      <x:c r="I322" s="182" t="str">
        <x:v>nein</x:v>
      </x:c>
      <x:c r="J322" s="182" t="str">
        <x:f>'Stationen Abfrage dataprocessor'!$S$68</x:f>
        <x:v>fallbezogen prüfen</x:v>
      </x:c>
      <x:c r="K322" s="190" t="n">
        <x:f>IF(G322="definiert",F322-E322,"")</x:f>
        <x:v>81</x:v>
      </x:c>
      <x:c r="L322" s="182" t="n">
        <x:v>68</x:v>
      </x:c>
      <x:c r="M322" s="182" t="str">
        <x:f>IF('Stationen Abfrage dataprocessor'!$K$68="","",'Stationen Abfrage dataprocessor'!$K$68)</x:f>
      </x:c>
      <x:c r="N322" s="182" t="str">
        <x:f>Definitionen!$B$2</x:f>
        <x:v>IP-COHORT-2026-10-28-01</x:v>
      </x:c>
    </x:row>
    <x:row r="323" ht="30" customHeight="1">
      <x:c r="A323" s="182" t="str">
        <x:f>'Stationen Abfrage dataprocessor'!$A$68</x:f>
        <x:v>UK Leipzig</x:v>
      </x:c>
      <x:c r="B323" s="182" t="str">
        <x:f>'Stationen Abfrage dataprocessor'!$D$68</x:f>
        <x:v>F04-3</x:v>
      </x:c>
      <x:c r="C323" s="182" t="str">
        <x:v>RES</x:v>
      </x:c>
      <x:c r="D323" s="182" t="str">
        <x:f>'Stationen Abfrage dataprocessor'!$P$68</x:f>
        <x:v>ja</x:v>
      </x:c>
      <x:c r="E323" s="189" t="n">
        <x:f>IF(G323="definiert",MAX('Stationen Abfrage dataprocessor'!$E$68,'Stationen Abfrage dataprocessor'!$G$68),"")</x:f>
        <x:v>46185</x:v>
      </x:c>
      <x:c r="F323" s="189" t="n">
        <x:f>IF(G323="definiert",'Stationen Abfrage dataprocessor'!$H$68+1,"")</x:f>
        <x:v>46266</x:v>
      </x:c>
      <x:c r="G323" s="182" t="str">
        <x:f>IF(D323="nein","nicht_anwendbar",IF(D323&lt;&gt;"ja","Konfiguration fehlt",IF(OR(NOT(ISNUMBER('Stationen Abfrage dataprocessor'!$E$68)),NOT(ISNUMBER('Stationen Abfrage dataprocessor'!$G$68)),NOT(ISNUMBER('Stationen Abfrage dataprocessor'!$H$68))),"Konfiguration fehlt",IF(('Stationen Abfrage dataprocessor'!$H$68+1)&lt;=(MAX('Stationen Abfrage dataprocessor'!$E$68,'Stationen Abfrage dataprocessor'!$G$68)),"kein_beobachtetes_fenster","definiert"))))</x:f>
        <x:v>definiert</x:v>
      </x:c>
      <x:c r="H323" s="182" t="str">
        <x:v>ja</x:v>
      </x:c>
      <x:c r="I323" s="182" t="str">
        <x:v>ja</x:v>
      </x:c>
      <x:c r="J323" s="182" t="str">
        <x:f>'Stationen Abfrage dataprocessor'!$S$68</x:f>
        <x:v>fallbezogen prüfen</x:v>
      </x:c>
      <x:c r="K323" s="190" t="n">
        <x:f>IF(G323="definiert",F323-E323,"")</x:f>
        <x:v>81</x:v>
      </x:c>
      <x:c r="L323" s="182" t="n">
        <x:v>68</x:v>
      </x:c>
      <x:c r="M323" s="182" t="str">
        <x:f>IF('Stationen Abfrage dataprocessor'!$K$68="","",'Stationen Abfrage dataprocessor'!$K$68)</x:f>
      </x:c>
      <x:c r="N323" s="182" t="str">
        <x:f>Definitionen!$B$2</x:f>
        <x:v>IP-COHORT-2026-10-28-01</x:v>
      </x:c>
    </x:row>
    <x:row r="324" ht="30" customHeight="1">
      <x:c r="A324" s="182" t="str">
        <x:f>'Stationen Abfrage dataprocessor'!$A$68</x:f>
        <x:v>UK Leipzig</x:v>
      </x:c>
      <x:c r="B324" s="182" t="str">
        <x:f>'Stationen Abfrage dataprocessor'!$D$68</x:f>
        <x:v>F04-3</x:v>
      </x:c>
      <x:c r="C324" s="182" t="str">
        <x:v>TRS</x:v>
      </x:c>
      <x:c r="D324" s="182" t="str">
        <x:f>'Stationen Abfrage dataprocessor'!$Q$68</x:f>
        <x:v>ja</x:v>
      </x:c>
      <x:c r="E324" s="189" t="n">
        <x:f>IF(G324="definiert",'Stationen Abfrage dataprocessor'!$E$68,"")</x:f>
        <x:v>45839</x:v>
      </x:c>
      <x:c r="F324" s="189" t="n">
        <x:f>IF(G324="definiert",'Stationen Abfrage dataprocessor'!$H$68+1,"")</x:f>
        <x:v>46266</x:v>
      </x:c>
      <x:c r="G324" s="182" t="str">
        <x:f>IF(D324="nein","nicht_anwendbar",IF(D324&lt;&gt;"ja","Konfiguration fehlt",IF(OR(NOT(ISNUMBER('Stationen Abfrage dataprocessor'!$E$68)),NOT(ISNUMBER('Stationen Abfrage dataprocessor'!$H$68))),"Konfiguration fehlt",IF(('Stationen Abfrage dataprocessor'!$H$68+1)&lt;=('Stationen Abfrage dataprocessor'!$E$68),"kein_beobachtetes_fenster","definiert"))))</x:f>
        <x:v>definiert</x:v>
      </x:c>
      <x:c r="H324" s="182" t="str">
        <x:v>ja</x:v>
      </x:c>
      <x:c r="I324" s="182" t="str">
        <x:v>nein</x:v>
      </x:c>
      <x:c r="J324" s="182" t="str">
        <x:f>"nicht Voraussetzung"</x:f>
        <x:v>nicht Voraussetzung</x:v>
      </x:c>
      <x:c r="K324" s="190" t="n">
        <x:f>IF(G324="definiert",F324-E324,"")</x:f>
        <x:v>427</x:v>
      </x:c>
      <x:c r="L324" s="182" t="n">
        <x:v>68</x:v>
      </x:c>
      <x:c r="M324" s="182" t="str">
        <x:f>IF('Stationen Abfrage dataprocessor'!$K$68="","",'Stationen Abfrage dataprocessor'!$K$68)</x:f>
      </x:c>
      <x:c r="N324" s="182" t="str">
        <x:f>Definitionen!$B$2</x:f>
        <x:v>IP-COHORT-2026-10-28-01</x:v>
      </x:c>
    </x:row>
    <x:row r="325" ht="72" customHeight="1">
      <x:c r="A325" s="182" t="str">
        <x:f>'Stationen Abfrage dataprocessor'!$A$69</x:f>
        <x:v>UK Mainz (UKM)</x:v>
      </x:c>
      <x:c r="B325" s="182" t="str">
        <x:f>'Stationen Abfrage dataprocessor'!$D$69</x:f>
        <x:v>NC01</x:v>
      </x:c>
      <x:c r="C325" s="182" t="str">
        <x:v>BS</x:v>
      </x:c>
      <x:c r="D325" s="182" t="str">
        <x:f>'Stationen Abfrage dataprocessor'!$M$69</x:f>
        <x:v>ja</x:v>
      </x:c>
      <x:c r="E325" s="189" t="n">
        <x:f>IF(G325="definiert",'Stationen Abfrage dataprocessor'!$E$69,"")</x:f>
        <x:v>45839</x:v>
      </x:c>
      <x:c r="F325" s="189" t="n">
        <x:f>IF(G325="definiert",IF('Stationen Abfrage dataprocessor'!$T$69="Studienende",'Stationen Abfrage dataprocessor'!$H$69+1,MIN('Stationen Abfrage dataprocessor'!$F$69,'Stationen Abfrage dataprocessor'!$H$69+1)),"")</x:f>
        <x:v>46059</x:v>
      </x:c>
      <x:c r="G325" s="182" t="str">
        <x:f>IF(D325="nein","nicht_anwendbar",IF(D325&lt;&gt;"ja","Konfiguration fehlt",IF(OR(NOT(ISNUMBER('Stationen Abfrage dataprocessor'!$E$69)),NOT(ISNUMBER('Stationen Abfrage dataprocessor'!$H$69)),AND('Stationen Abfrage dataprocessor'!$T$69&lt;&gt;"Phasengrenze",'Stationen Abfrage dataprocessor'!$T$69&lt;&gt;"Studienende"),AND('Stationen Abfrage dataprocessor'!$T$69="Phasengrenze",NOT(ISNUMBER('Stationen Abfrage dataprocessor'!$F$69)))),"Konfiguration fehlt",IF((IF('Stationen Abfrage dataprocessor'!$T$69="Studienende",'Stationen Abfrage dataprocessor'!$H$69+1,MIN('Stationen Abfrage dataprocessor'!$F$69,'Stationen Abfrage dataprocessor'!$H$69+1)))&lt;=('Stationen Abfrage dataprocessor'!$E$69),"kein_beobachtetes_fenster","definiert"))))</x:f>
        <x:v>definiert</x:v>
      </x:c>
      <x:c r="H325" s="182" t="str">
        <x:v>nein</x:v>
      </x:c>
      <x:c r="I325" s="182" t="str">
        <x:v>nein</x:v>
      </x:c>
      <x:c r="J325" s="182" t="str">
        <x:f>"nicht Voraussetzung"</x:f>
        <x:v>nicht Voraussetzung</x:v>
      </x:c>
      <x:c r="K325" s="190" t="n">
        <x:f>IF(G325="definiert",F325-E325,"")</x:f>
        <x:v>220</x:v>
      </x:c>
      <x:c r="L325" s="182" t="n">
        <x:v>69</x:v>
      </x:c>
      <x:c r="M325" s="182" t="str">
        <x:f>IF('Stationen Abfrage dataprocessor'!$K$69="","",'Stationen Abfrage dataprocessor'!$K$69)</x:f>
        <x:v>CRS-B vom 29.05.2026 bis einschließlich 31.08.2026. Kein Apotheker, vor Ort keine MedA/Findings und keine retrolektive MRP-Bewertung.</x:v>
      </x:c>
      <x:c r="N325" s="182" t="str">
        <x:f>Definitionen!$B$2</x:f>
        <x:v>IP-COHORT-2026-10-28-01</x:v>
      </x:c>
    </x:row>
    <x:row r="326" ht="72" customHeight="1">
      <x:c r="A326" s="182" t="str">
        <x:f>'Stationen Abfrage dataprocessor'!$A$69</x:f>
        <x:v>UK Mainz (UKM)</x:v>
      </x:c>
      <x:c r="B326" s="182" t="str">
        <x:f>'Stationen Abfrage dataprocessor'!$D$69</x:f>
        <x:v>NC01</x:v>
      </x:c>
      <x:c r="C326" s="182" t="str">
        <x:v>CRS-A</x:v>
      </x:c>
      <x:c r="D326" s="182" t="str">
        <x:f>'Stationen Abfrage dataprocessor'!$N$69</x:f>
        <x:v>ja</x:v>
      </x:c>
      <x:c r="E326" s="189" t="n">
        <x:f>IF(G326="definiert",MAX('Stationen Abfrage dataprocessor'!$E$69,'Stationen Abfrage dataprocessor'!$F$69),"")</x:f>
        <x:v>46059</x:v>
      </x:c>
      <x:c r="F326" s="189" t="n">
        <x:f>IF(G326="definiert",MIN('Stationen Abfrage dataprocessor'!$G$69,'Stationen Abfrage dataprocessor'!$H$69+1),"")</x:f>
        <x:v>46171</x:v>
      </x:c>
      <x:c r="G326" s="182" t="str">
        <x:f>IF(D326="nein","nicht_anwendbar",IF(D326&lt;&gt;"ja","Konfiguration fehlt",IF(OR(NOT(ISNUMBER('Stationen Abfrage dataprocessor'!$E$69)),NOT(ISNUMBER('Stationen Abfrage dataprocessor'!$F$69)),NOT(ISNUMBER('Stationen Abfrage dataprocessor'!$G$69)),NOT(ISNUMBER('Stationen Abfrage dataprocessor'!$H$69))),"Konfiguration fehlt",IF((MIN('Stationen Abfrage dataprocessor'!$G$69,'Stationen Abfrage dataprocessor'!$H$69+1))&lt;=(MAX('Stationen Abfrage dataprocessor'!$E$69,'Stationen Abfrage dataprocessor'!$F$69)),"kein_beobachtetes_fenster","definiert"))))</x:f>
        <x:v>definiert</x:v>
      </x:c>
      <x:c r="H326" s="182" t="str">
        <x:v>nein</x:v>
      </x:c>
      <x:c r="I326" s="182" t="str">
        <x:v>nein</x:v>
      </x:c>
      <x:c r="J326" s="182" t="str">
        <x:f>"nicht Voraussetzung"</x:f>
        <x:v>nicht Voraussetzung</x:v>
      </x:c>
      <x:c r="K326" s="190" t="n">
        <x:f>IF(G326="definiert",F326-E326,"")</x:f>
        <x:v>112</x:v>
      </x:c>
      <x:c r="L326" s="182" t="n">
        <x:v>69</x:v>
      </x:c>
      <x:c r="M326" s="182" t="str">
        <x:f>IF('Stationen Abfrage dataprocessor'!$K$69="","",'Stationen Abfrage dataprocessor'!$K$69)</x:f>
        <x:v>CRS-B vom 29.05.2026 bis einschließlich 31.08.2026. Kein Apotheker, vor Ort keine MedA/Findings und keine retrolektive MRP-Bewertung.</x:v>
      </x:c>
      <x:c r="N326" s="182" t="str">
        <x:f>Definitionen!$B$2</x:f>
        <x:v>IP-COHORT-2026-10-28-01</x:v>
      </x:c>
    </x:row>
    <x:row r="327" ht="72" customHeight="1">
      <x:c r="A327" s="182" t="str">
        <x:f>'Stationen Abfrage dataprocessor'!$A$69</x:f>
        <x:v>UK Mainz (UKM)</x:v>
      </x:c>
      <x:c r="B327" s="182" t="str">
        <x:f>'Stationen Abfrage dataprocessor'!$D$69</x:f>
        <x:v>NC01</x:v>
      </x:c>
      <x:c r="C327" s="182" t="str">
        <x:v>CRS-B</x:v>
      </x:c>
      <x:c r="D327" s="182" t="str">
        <x:f>'Stationen Abfrage dataprocessor'!$O$69</x:f>
        <x:v>ja</x:v>
      </x:c>
      <x:c r="E327" s="189" t="n">
        <x:f>IF(G327="definiert",MAX('Stationen Abfrage dataprocessor'!$E$69,'Stationen Abfrage dataprocessor'!$G$69),"")</x:f>
        <x:v>46171</x:v>
      </x:c>
      <x:c r="F327" s="189" t="n">
        <x:f>IF(G327="definiert",'Stationen Abfrage dataprocessor'!$H$69+1,"")</x:f>
        <x:v>46266</x:v>
      </x:c>
      <x:c r="G327" s="182" t="str">
        <x:f>IF(D327="nein","nicht_anwendbar",IF(D327&lt;&gt;"ja","Konfiguration fehlt",IF(OR(NOT(ISNUMBER('Stationen Abfrage dataprocessor'!$E$69)),NOT(ISNUMBER('Stationen Abfrage dataprocessor'!$G$69)),NOT(ISNUMBER('Stationen Abfrage dataprocessor'!$H$69))),"Konfiguration fehlt",IF(('Stationen Abfrage dataprocessor'!$H$69+1)&lt;=(MAX('Stationen Abfrage dataprocessor'!$E$69,'Stationen Abfrage dataprocessor'!$G$69)),"kein_beobachtetes_fenster","definiert"))))</x:f>
        <x:v>definiert</x:v>
      </x:c>
      <x:c r="H327" s="182" t="str">
        <x:v>nein</x:v>
      </x:c>
      <x:c r="I327" s="182" t="str">
        <x:v>nein</x:v>
      </x:c>
      <x:c r="J327" s="182" t="str">
        <x:f>'Stationen Abfrage dataprocessor'!$S$69</x:f>
        <x:v>nicht durchgeführt</x:v>
      </x:c>
      <x:c r="K327" s="190" t="n">
        <x:f>IF(G327="definiert",F327-E327,"")</x:f>
        <x:v>95</x:v>
      </x:c>
      <x:c r="L327" s="182" t="n">
        <x:v>69</x:v>
      </x:c>
      <x:c r="M327" s="182" t="str">
        <x:f>IF('Stationen Abfrage dataprocessor'!$K$69="","",'Stationen Abfrage dataprocessor'!$K$69)</x:f>
        <x:v>CRS-B vom 29.05.2026 bis einschließlich 31.08.2026. Kein Apotheker, vor Ort keine MedA/Findings und keine retrolektive MRP-Bewertung.</x:v>
      </x:c>
      <x:c r="N327" s="182" t="str">
        <x:f>Definitionen!$B$2</x:f>
        <x:v>IP-COHORT-2026-10-28-01</x:v>
      </x:c>
    </x:row>
    <x:row r="328" ht="72" customHeight="1">
      <x:c r="A328" s="182" t="str">
        <x:f>'Stationen Abfrage dataprocessor'!$A$69</x:f>
        <x:v>UK Mainz (UKM)</x:v>
      </x:c>
      <x:c r="B328" s="182" t="str">
        <x:f>'Stationen Abfrage dataprocessor'!$D$69</x:f>
        <x:v>NC01</x:v>
      </x:c>
      <x:c r="C328" s="182" t="str">
        <x:v>RES</x:v>
      </x:c>
      <x:c r="D328" s="182" t="str">
        <x:f>'Stationen Abfrage dataprocessor'!$P$69</x:f>
        <x:v>ja</x:v>
      </x:c>
      <x:c r="E328" s="189" t="n">
        <x:f>IF(G328="definiert",MAX('Stationen Abfrage dataprocessor'!$E$69,'Stationen Abfrage dataprocessor'!$G$69),"")</x:f>
        <x:v>46171</x:v>
      </x:c>
      <x:c r="F328" s="189" t="n">
        <x:f>IF(G328="definiert",'Stationen Abfrage dataprocessor'!$H$69+1,"")</x:f>
        <x:v>46266</x:v>
      </x:c>
      <x:c r="G328" s="182" t="str">
        <x:f>IF(D328="nein","nicht_anwendbar",IF(D328&lt;&gt;"ja","Konfiguration fehlt",IF(OR(NOT(ISNUMBER('Stationen Abfrage dataprocessor'!$E$69)),NOT(ISNUMBER('Stationen Abfrage dataprocessor'!$G$69)),NOT(ISNUMBER('Stationen Abfrage dataprocessor'!$H$69))),"Konfiguration fehlt",IF(('Stationen Abfrage dataprocessor'!$H$69+1)&lt;=(MAX('Stationen Abfrage dataprocessor'!$E$69,'Stationen Abfrage dataprocessor'!$G$69)),"kein_beobachtetes_fenster","definiert"))))</x:f>
        <x:v>definiert</x:v>
      </x:c>
      <x:c r="H328" s="182" t="str">
        <x:v>ja</x:v>
      </x:c>
      <x:c r="I328" s="182" t="str">
        <x:v>ja</x:v>
      </x:c>
      <x:c r="J328" s="182" t="str">
        <x:f>'Stationen Abfrage dataprocessor'!$S$69</x:f>
        <x:v>nicht durchgeführt</x:v>
      </x:c>
      <x:c r="K328" s="190" t="n">
        <x:f>IF(G328="definiert",F328-E328,"")</x:f>
        <x:v>95</x:v>
      </x:c>
      <x:c r="L328" s="182" t="n">
        <x:v>69</x:v>
      </x:c>
      <x:c r="M328" s="182" t="str">
        <x:f>IF('Stationen Abfrage dataprocessor'!$K$69="","",'Stationen Abfrage dataprocessor'!$K$69)</x:f>
        <x:v>CRS-B vom 29.05.2026 bis einschließlich 31.08.2026. Kein Apotheker, vor Ort keine MedA/Findings und keine retrolektive MRP-Bewertung.</x:v>
      </x:c>
      <x:c r="N328" s="182" t="str">
        <x:f>Definitionen!$B$2</x:f>
        <x:v>IP-COHORT-2026-10-28-01</x:v>
      </x:c>
    </x:row>
    <x:row r="329" ht="72" customHeight="1">
      <x:c r="A329" s="182" t="str">
        <x:f>'Stationen Abfrage dataprocessor'!$A$69</x:f>
        <x:v>UK Mainz (UKM)</x:v>
      </x:c>
      <x:c r="B329" s="182" t="str">
        <x:f>'Stationen Abfrage dataprocessor'!$D$69</x:f>
        <x:v>NC01</x:v>
      </x:c>
      <x:c r="C329" s="182" t="str">
        <x:v>TRS</x:v>
      </x:c>
      <x:c r="D329" s="182" t="str">
        <x:f>'Stationen Abfrage dataprocessor'!$Q$69</x:f>
        <x:v>ja</x:v>
      </x:c>
      <x:c r="E329" s="189" t="n">
        <x:f>IF(G329="definiert",'Stationen Abfrage dataprocessor'!$E$69,"")</x:f>
        <x:v>45839</x:v>
      </x:c>
      <x:c r="F329" s="189" t="n">
        <x:f>IF(G329="definiert",'Stationen Abfrage dataprocessor'!$H$69+1,"")</x:f>
        <x:v>46266</x:v>
      </x:c>
      <x:c r="G329" s="182" t="str">
        <x:f>IF(D329="nein","nicht_anwendbar",IF(D329&lt;&gt;"ja","Konfiguration fehlt",IF(OR(NOT(ISNUMBER('Stationen Abfrage dataprocessor'!$E$69)),NOT(ISNUMBER('Stationen Abfrage dataprocessor'!$H$69))),"Konfiguration fehlt",IF(('Stationen Abfrage dataprocessor'!$H$69+1)&lt;=('Stationen Abfrage dataprocessor'!$E$69),"kein_beobachtetes_fenster","definiert"))))</x:f>
        <x:v>definiert</x:v>
      </x:c>
      <x:c r="H329" s="182" t="str">
        <x:v>ja</x:v>
      </x:c>
      <x:c r="I329" s="182" t="str">
        <x:v>nein</x:v>
      </x:c>
      <x:c r="J329" s="182" t="str">
        <x:f>"nicht Voraussetzung"</x:f>
        <x:v>nicht Voraussetzung</x:v>
      </x:c>
      <x:c r="K329" s="190" t="n">
        <x:f>IF(G329="definiert",F329-E329,"")</x:f>
        <x:v>427</x:v>
      </x:c>
      <x:c r="L329" s="182" t="n">
        <x:v>69</x:v>
      </x:c>
      <x:c r="M329" s="182" t="str">
        <x:f>IF('Stationen Abfrage dataprocessor'!$K$69="","",'Stationen Abfrage dataprocessor'!$K$69)</x:f>
        <x:v>CRS-B vom 29.05.2026 bis einschließlich 31.08.2026. Kein Apotheker, vor Ort keine MedA/Findings und keine retrolektive MRP-Bewertung.</x:v>
      </x:c>
      <x:c r="N329" s="182" t="str">
        <x:f>Definitionen!$B$2</x:f>
        <x:v>IP-COHORT-2026-10-28-01</x:v>
      </x:c>
    </x:row>
    <x:row r="330" ht="30" customHeight="1">
      <x:c r="A330" s="182" t="str">
        <x:f>'Stationen Abfrage dataprocessor'!$A$70</x:f>
        <x:v>UK Mainz (UKM)</x:v>
      </x:c>
      <x:c r="B330" s="182" t="str">
        <x:f>'Stationen Abfrage dataprocessor'!$D$70</x:f>
        <x:v>M101</x:v>
      </x:c>
      <x:c r="C330" s="182" t="str">
        <x:v>BS</x:v>
      </x:c>
      <x:c r="D330" s="182" t="str">
        <x:f>'Stationen Abfrage dataprocessor'!$M$70</x:f>
        <x:v>ja</x:v>
      </x:c>
      <x:c r="E330" s="189" t="n">
        <x:f>IF(G330="definiert",'Stationen Abfrage dataprocessor'!$E$70,"")</x:f>
        <x:v>45839</x:v>
      </x:c>
      <x:c r="F330" s="189" t="n">
        <x:f>IF(G330="definiert",IF('Stationen Abfrage dataprocessor'!$T$70="Studienende",'Stationen Abfrage dataprocessor'!$H$70+1,MIN('Stationen Abfrage dataprocessor'!$F$70,'Stationen Abfrage dataprocessor'!$H$70+1)),"")</x:f>
        <x:v>46059</x:v>
      </x:c>
      <x:c r="G330" s="182" t="str">
        <x:f>IF(D330="nein","nicht_anwendbar",IF(D330&lt;&gt;"ja","Konfiguration fehlt",IF(OR(NOT(ISNUMBER('Stationen Abfrage dataprocessor'!$E$70)),NOT(ISNUMBER('Stationen Abfrage dataprocessor'!$H$70)),AND('Stationen Abfrage dataprocessor'!$T$70&lt;&gt;"Phasengrenze",'Stationen Abfrage dataprocessor'!$T$70&lt;&gt;"Studienende"),AND('Stationen Abfrage dataprocessor'!$T$70="Phasengrenze",NOT(ISNUMBER('Stationen Abfrage dataprocessor'!$F$70)))),"Konfiguration fehlt",IF((IF('Stationen Abfrage dataprocessor'!$T$70="Studienende",'Stationen Abfrage dataprocessor'!$H$70+1,MIN('Stationen Abfrage dataprocessor'!$F$70,'Stationen Abfrage dataprocessor'!$H$70+1)))&lt;=('Stationen Abfrage dataprocessor'!$E$70),"kein_beobachtetes_fenster","definiert"))))</x:f>
        <x:v>definiert</x:v>
      </x:c>
      <x:c r="H330" s="182" t="str">
        <x:v>nein</x:v>
      </x:c>
      <x:c r="I330" s="182" t="str">
        <x:v>nein</x:v>
      </x:c>
      <x:c r="J330" s="182" t="str">
        <x:f>"nicht Voraussetzung"</x:f>
        <x:v>nicht Voraussetzung</x:v>
      </x:c>
      <x:c r="K330" s="190" t="n">
        <x:f>IF(G330="definiert",F330-E330,"")</x:f>
        <x:v>220</x:v>
      </x:c>
      <x:c r="L330" s="182" t="n">
        <x:v>70</x:v>
      </x:c>
      <x:c r="M330" s="182" t="str">
        <x:f>IF('Stationen Abfrage dataprocessor'!$K$70="","",'Stationen Abfrage dataprocessor'!$K$70)</x:f>
      </x:c>
      <x:c r="N330" s="182" t="str">
        <x:f>Definitionen!$B$2</x:f>
        <x:v>IP-COHORT-2026-10-28-01</x:v>
      </x:c>
    </x:row>
    <x:row r="331" ht="30" customHeight="1">
      <x:c r="A331" s="182" t="str">
        <x:f>'Stationen Abfrage dataprocessor'!$A$70</x:f>
        <x:v>UK Mainz (UKM)</x:v>
      </x:c>
      <x:c r="B331" s="182" t="str">
        <x:f>'Stationen Abfrage dataprocessor'!$D$70</x:f>
        <x:v>M101</x:v>
      </x:c>
      <x:c r="C331" s="182" t="str">
        <x:v>CRS-A</x:v>
      </x:c>
      <x:c r="D331" s="182" t="str">
        <x:f>'Stationen Abfrage dataprocessor'!$N$70</x:f>
        <x:v>ja</x:v>
      </x:c>
      <x:c r="E331" s="189" t="n">
        <x:f>IF(G331="definiert",MAX('Stationen Abfrage dataprocessor'!$E$70,'Stationen Abfrage dataprocessor'!$F$70),"")</x:f>
        <x:v>46059</x:v>
      </x:c>
      <x:c r="F331" s="189" t="n">
        <x:f>IF(G331="definiert",MIN('Stationen Abfrage dataprocessor'!$G$70,'Stationen Abfrage dataprocessor'!$H$70+1),"")</x:f>
        <x:v>46119</x:v>
      </x:c>
      <x:c r="G331" s="182" t="str">
        <x:f>IF(D331="nein","nicht_anwendbar",IF(D331&lt;&gt;"ja","Konfiguration fehlt",IF(OR(NOT(ISNUMBER('Stationen Abfrage dataprocessor'!$E$70)),NOT(ISNUMBER('Stationen Abfrage dataprocessor'!$F$70)),NOT(ISNUMBER('Stationen Abfrage dataprocessor'!$G$70)),NOT(ISNUMBER('Stationen Abfrage dataprocessor'!$H$70))),"Konfiguration fehlt",IF((MIN('Stationen Abfrage dataprocessor'!$G$70,'Stationen Abfrage dataprocessor'!$H$70+1))&lt;=(MAX('Stationen Abfrage dataprocessor'!$E$70,'Stationen Abfrage dataprocessor'!$F$70)),"kein_beobachtetes_fenster","definiert"))))</x:f>
        <x:v>definiert</x:v>
      </x:c>
      <x:c r="H331" s="182" t="str">
        <x:v>nein</x:v>
      </x:c>
      <x:c r="I331" s="182" t="str">
        <x:v>nein</x:v>
      </x:c>
      <x:c r="J331" s="182" t="str">
        <x:f>"nicht Voraussetzung"</x:f>
        <x:v>nicht Voraussetzung</x:v>
      </x:c>
      <x:c r="K331" s="190" t="n">
        <x:f>IF(G331="definiert",F331-E331,"")</x:f>
        <x:v>60</x:v>
      </x:c>
      <x:c r="L331" s="182" t="n">
        <x:v>70</x:v>
      </x:c>
      <x:c r="M331" s="182" t="str">
        <x:f>IF('Stationen Abfrage dataprocessor'!$K$70="","",'Stationen Abfrage dataprocessor'!$K$70)</x:f>
      </x:c>
      <x:c r="N331" s="182" t="str">
        <x:f>Definitionen!$B$2</x:f>
        <x:v>IP-COHORT-2026-10-28-01</x:v>
      </x:c>
    </x:row>
    <x:row r="332" ht="30" customHeight="1">
      <x:c r="A332" s="182" t="str">
        <x:f>'Stationen Abfrage dataprocessor'!$A$70</x:f>
        <x:v>UK Mainz (UKM)</x:v>
      </x:c>
      <x:c r="B332" s="182" t="str">
        <x:f>'Stationen Abfrage dataprocessor'!$D$70</x:f>
        <x:v>M101</x:v>
      </x:c>
      <x:c r="C332" s="182" t="str">
        <x:v>CRS-B</x:v>
      </x:c>
      <x:c r="D332" s="182" t="str">
        <x:f>'Stationen Abfrage dataprocessor'!$O$70</x:f>
        <x:v>ja</x:v>
      </x:c>
      <x:c r="E332" s="189" t="n">
        <x:f>IF(G332="definiert",MAX('Stationen Abfrage dataprocessor'!$E$70,'Stationen Abfrage dataprocessor'!$G$70),"")</x:f>
        <x:v>46119</x:v>
      </x:c>
      <x:c r="F332" s="189" t="n">
        <x:f>IF(G332="definiert",'Stationen Abfrage dataprocessor'!$H$70+1,"")</x:f>
        <x:v>46163</x:v>
      </x:c>
      <x:c r="G332" s="182" t="str">
        <x:f>IF(D332="nein","nicht_anwendbar",IF(D332&lt;&gt;"ja","Konfiguration fehlt",IF(OR(NOT(ISNUMBER('Stationen Abfrage dataprocessor'!$E$70)),NOT(ISNUMBER('Stationen Abfrage dataprocessor'!$G$70)),NOT(ISNUMBER('Stationen Abfrage dataprocessor'!$H$70))),"Konfiguration fehlt",IF(('Stationen Abfrage dataprocessor'!$H$70+1)&lt;=(MAX('Stationen Abfrage dataprocessor'!$E$70,'Stationen Abfrage dataprocessor'!$G$70)),"kein_beobachtetes_fenster","definiert"))))</x:f>
        <x:v>definiert</x:v>
      </x:c>
      <x:c r="H332" s="182" t="str">
        <x:v>nein</x:v>
      </x:c>
      <x:c r="I332" s="182" t="str">
        <x:v>nein</x:v>
      </x:c>
      <x:c r="J332" s="182" t="str">
        <x:f>'Stationen Abfrage dataprocessor'!$S$70</x:f>
        <x:v>fallbezogen prüfen</x:v>
      </x:c>
      <x:c r="K332" s="190" t="n">
        <x:f>IF(G332="definiert",F332-E332,"")</x:f>
        <x:v>44</x:v>
      </x:c>
      <x:c r="L332" s="182" t="n">
        <x:v>70</x:v>
      </x:c>
      <x:c r="M332" s="182" t="str">
        <x:f>IF('Stationen Abfrage dataprocessor'!$K$70="","",'Stationen Abfrage dataprocessor'!$K$70)</x:f>
      </x:c>
      <x:c r="N332" s="182" t="str">
        <x:f>Definitionen!$B$2</x:f>
        <x:v>IP-COHORT-2026-10-28-01</x:v>
      </x:c>
    </x:row>
    <x:row r="333" ht="30" customHeight="1">
      <x:c r="A333" s="182" t="str">
        <x:f>'Stationen Abfrage dataprocessor'!$A$70</x:f>
        <x:v>UK Mainz (UKM)</x:v>
      </x:c>
      <x:c r="B333" s="182" t="str">
        <x:f>'Stationen Abfrage dataprocessor'!$D$70</x:f>
        <x:v>M101</x:v>
      </x:c>
      <x:c r="C333" s="182" t="str">
        <x:v>RES</x:v>
      </x:c>
      <x:c r="D333" s="182" t="str">
        <x:f>'Stationen Abfrage dataprocessor'!$P$70</x:f>
        <x:v>ja</x:v>
      </x:c>
      <x:c r="E333" s="189" t="n">
        <x:f>IF(G333="definiert",MAX('Stationen Abfrage dataprocessor'!$E$70,'Stationen Abfrage dataprocessor'!$G$70),"")</x:f>
        <x:v>46119</x:v>
      </x:c>
      <x:c r="F333" s="189" t="n">
        <x:f>IF(G333="definiert",'Stationen Abfrage dataprocessor'!$H$70+1,"")</x:f>
        <x:v>46163</x:v>
      </x:c>
      <x:c r="G333" s="182" t="str">
        <x:f>IF(D333="nein","nicht_anwendbar",IF(D333&lt;&gt;"ja","Konfiguration fehlt",IF(OR(NOT(ISNUMBER('Stationen Abfrage dataprocessor'!$E$70)),NOT(ISNUMBER('Stationen Abfrage dataprocessor'!$G$70)),NOT(ISNUMBER('Stationen Abfrage dataprocessor'!$H$70))),"Konfiguration fehlt",IF(('Stationen Abfrage dataprocessor'!$H$70+1)&lt;=(MAX('Stationen Abfrage dataprocessor'!$E$70,'Stationen Abfrage dataprocessor'!$G$70)),"kein_beobachtetes_fenster","definiert"))))</x:f>
        <x:v>definiert</x:v>
      </x:c>
      <x:c r="H333" s="182" t="str">
        <x:v>ja</x:v>
      </x:c>
      <x:c r="I333" s="182" t="str">
        <x:v>ja</x:v>
      </x:c>
      <x:c r="J333" s="182" t="str">
        <x:f>'Stationen Abfrage dataprocessor'!$S$70</x:f>
        <x:v>fallbezogen prüfen</x:v>
      </x:c>
      <x:c r="K333" s="190" t="n">
        <x:f>IF(G333="definiert",F333-E333,"")</x:f>
        <x:v>44</x:v>
      </x:c>
      <x:c r="L333" s="182" t="n">
        <x:v>70</x:v>
      </x:c>
      <x:c r="M333" s="182" t="str">
        <x:f>IF('Stationen Abfrage dataprocessor'!$K$70="","",'Stationen Abfrage dataprocessor'!$K$70)</x:f>
      </x:c>
      <x:c r="N333" s="182" t="str">
        <x:f>Definitionen!$B$2</x:f>
        <x:v>IP-COHORT-2026-10-28-01</x:v>
      </x:c>
    </x:row>
    <x:row r="334" ht="30" customHeight="1">
      <x:c r="A334" s="182" t="str">
        <x:f>'Stationen Abfrage dataprocessor'!$A$70</x:f>
        <x:v>UK Mainz (UKM)</x:v>
      </x:c>
      <x:c r="B334" s="182" t="str">
        <x:f>'Stationen Abfrage dataprocessor'!$D$70</x:f>
        <x:v>M101</x:v>
      </x:c>
      <x:c r="C334" s="182" t="str">
        <x:v>TRS</x:v>
      </x:c>
      <x:c r="D334" s="182" t="str">
        <x:f>'Stationen Abfrage dataprocessor'!$Q$70</x:f>
        <x:v>ja</x:v>
      </x:c>
      <x:c r="E334" s="189" t="n">
        <x:f>IF(G334="definiert",'Stationen Abfrage dataprocessor'!$E$70,"")</x:f>
        <x:v>45839</x:v>
      </x:c>
      <x:c r="F334" s="189" t="n">
        <x:f>IF(G334="definiert",'Stationen Abfrage dataprocessor'!$H$70+1,"")</x:f>
        <x:v>46163</x:v>
      </x:c>
      <x:c r="G334" s="182" t="str">
        <x:f>IF(D334="nein","nicht_anwendbar",IF(D334&lt;&gt;"ja","Konfiguration fehlt",IF(OR(NOT(ISNUMBER('Stationen Abfrage dataprocessor'!$E$70)),NOT(ISNUMBER('Stationen Abfrage dataprocessor'!$H$70))),"Konfiguration fehlt",IF(('Stationen Abfrage dataprocessor'!$H$70+1)&lt;=('Stationen Abfrage dataprocessor'!$E$70),"kein_beobachtetes_fenster","definiert"))))</x:f>
        <x:v>definiert</x:v>
      </x:c>
      <x:c r="H334" s="182" t="str">
        <x:v>ja</x:v>
      </x:c>
      <x:c r="I334" s="182" t="str">
        <x:v>nein</x:v>
      </x:c>
      <x:c r="J334" s="182" t="str">
        <x:f>"nicht Voraussetzung"</x:f>
        <x:v>nicht Voraussetzung</x:v>
      </x:c>
      <x:c r="K334" s="190" t="n">
        <x:f>IF(G334="definiert",F334-E334,"")</x:f>
        <x:v>324</x:v>
      </x:c>
      <x:c r="L334" s="182" t="n">
        <x:v>70</x:v>
      </x:c>
      <x:c r="M334" s="182" t="str">
        <x:f>IF('Stationen Abfrage dataprocessor'!$K$70="","",'Stationen Abfrage dataprocessor'!$K$70)</x:f>
      </x:c>
      <x:c r="N334" s="182" t="str">
        <x:f>Definitionen!$B$2</x:f>
        <x:v>IP-COHORT-2026-10-28-01</x:v>
      </x:c>
    </x:row>
    <x:row r="335" ht="30" customHeight="1">
      <x:c r="A335" s="182" t="str">
        <x:f>'Stationen Abfrage dataprocessor'!$A$71</x:f>
        <x:v>UK Mainz (UKM)</x:v>
      </x:c>
      <x:c r="B335" s="182" t="str">
        <x:f>'Stationen Abfrage dataprocessor'!$D$71</x:f>
        <x:v>HC06</x:v>
      </x:c>
      <x:c r="C335" s="182" t="str">
        <x:v>BS</x:v>
      </x:c>
      <x:c r="D335" s="182" t="str">
        <x:f>'Stationen Abfrage dataprocessor'!$M$71</x:f>
        <x:v>ja</x:v>
      </x:c>
      <x:c r="E335" s="189" t="n">
        <x:f>IF(G335="definiert",'Stationen Abfrage dataprocessor'!$E$71,"")</x:f>
        <x:v>45839</x:v>
      </x:c>
      <x:c r="F335" s="189" t="n">
        <x:f>IF(G335="definiert",IF('Stationen Abfrage dataprocessor'!$T$71="Studienende",'Stationen Abfrage dataprocessor'!$H$71+1,MIN('Stationen Abfrage dataprocessor'!$F$71,'Stationen Abfrage dataprocessor'!$H$71+1)),"")</x:f>
        <x:v>46059</x:v>
      </x:c>
      <x:c r="G335" s="182" t="str">
        <x:f>IF(D335="nein","nicht_anwendbar",IF(D335&lt;&gt;"ja","Konfiguration fehlt",IF(OR(NOT(ISNUMBER('Stationen Abfrage dataprocessor'!$E$71)),NOT(ISNUMBER('Stationen Abfrage dataprocessor'!$H$71)),AND('Stationen Abfrage dataprocessor'!$T$71&lt;&gt;"Phasengrenze",'Stationen Abfrage dataprocessor'!$T$71&lt;&gt;"Studienende"),AND('Stationen Abfrage dataprocessor'!$T$71="Phasengrenze",NOT(ISNUMBER('Stationen Abfrage dataprocessor'!$F$71)))),"Konfiguration fehlt",IF((IF('Stationen Abfrage dataprocessor'!$T$71="Studienende",'Stationen Abfrage dataprocessor'!$H$71+1,MIN('Stationen Abfrage dataprocessor'!$F$71,'Stationen Abfrage dataprocessor'!$H$71+1)))&lt;=('Stationen Abfrage dataprocessor'!$E$71),"kein_beobachtetes_fenster","definiert"))))</x:f>
        <x:v>definiert</x:v>
      </x:c>
      <x:c r="H335" s="182" t="str">
        <x:v>nein</x:v>
      </x:c>
      <x:c r="I335" s="182" t="str">
        <x:v>nein</x:v>
      </x:c>
      <x:c r="J335" s="182" t="str">
        <x:f>"nicht Voraussetzung"</x:f>
        <x:v>nicht Voraussetzung</x:v>
      </x:c>
      <x:c r="K335" s="190" t="n">
        <x:f>IF(G335="definiert",F335-E335,"")</x:f>
        <x:v>220</x:v>
      </x:c>
      <x:c r="L335" s="182" t="n">
        <x:v>71</x:v>
      </x:c>
      <x:c r="M335" s="182" t="str">
        <x:f>IF('Stationen Abfrage dataprocessor'!$K$71="","",'Stationen Abfrage dataprocessor'!$K$71)</x:f>
      </x:c>
      <x:c r="N335" s="182" t="str">
        <x:f>Definitionen!$B$2</x:f>
        <x:v>IP-COHORT-2026-10-28-01</x:v>
      </x:c>
    </x:row>
    <x:row r="336" ht="30" customHeight="1">
      <x:c r="A336" s="182" t="str">
        <x:f>'Stationen Abfrage dataprocessor'!$A$71</x:f>
        <x:v>UK Mainz (UKM)</x:v>
      </x:c>
      <x:c r="B336" s="182" t="str">
        <x:f>'Stationen Abfrage dataprocessor'!$D$71</x:f>
        <x:v>HC06</x:v>
      </x:c>
      <x:c r="C336" s="182" t="str">
        <x:v>CRS-A</x:v>
      </x:c>
      <x:c r="D336" s="182" t="str">
        <x:f>'Stationen Abfrage dataprocessor'!$N$71</x:f>
        <x:v>ja</x:v>
      </x:c>
      <x:c r="E336" s="189" t="n">
        <x:f>IF(G336="definiert",MAX('Stationen Abfrage dataprocessor'!$E$71,'Stationen Abfrage dataprocessor'!$F$71),"")</x:f>
        <x:v>46059</x:v>
      </x:c>
      <x:c r="F336" s="189" t="n">
        <x:f>IF(G336="definiert",MIN('Stationen Abfrage dataprocessor'!$G$71,'Stationen Abfrage dataprocessor'!$H$71+1),"")</x:f>
        <x:v>46143</x:v>
      </x:c>
      <x:c r="G336" s="182" t="str">
        <x:f>IF(D336="nein","nicht_anwendbar",IF(D336&lt;&gt;"ja","Konfiguration fehlt",IF(OR(NOT(ISNUMBER('Stationen Abfrage dataprocessor'!$E$71)),NOT(ISNUMBER('Stationen Abfrage dataprocessor'!$F$71)),NOT(ISNUMBER('Stationen Abfrage dataprocessor'!$G$71)),NOT(ISNUMBER('Stationen Abfrage dataprocessor'!$H$71))),"Konfiguration fehlt",IF((MIN('Stationen Abfrage dataprocessor'!$G$71,'Stationen Abfrage dataprocessor'!$H$71+1))&lt;=(MAX('Stationen Abfrage dataprocessor'!$E$71,'Stationen Abfrage dataprocessor'!$F$71)),"kein_beobachtetes_fenster","definiert"))))</x:f>
        <x:v>definiert</x:v>
      </x:c>
      <x:c r="H336" s="182" t="str">
        <x:v>nein</x:v>
      </x:c>
      <x:c r="I336" s="182" t="str">
        <x:v>nein</x:v>
      </x:c>
      <x:c r="J336" s="182" t="str">
        <x:f>"nicht Voraussetzung"</x:f>
        <x:v>nicht Voraussetzung</x:v>
      </x:c>
      <x:c r="K336" s="190" t="n">
        <x:f>IF(G336="definiert",F336-E336,"")</x:f>
        <x:v>84</x:v>
      </x:c>
      <x:c r="L336" s="182" t="n">
        <x:v>71</x:v>
      </x:c>
      <x:c r="M336" s="182" t="str">
        <x:f>IF('Stationen Abfrage dataprocessor'!$K$71="","",'Stationen Abfrage dataprocessor'!$K$71)</x:f>
      </x:c>
      <x:c r="N336" s="182" t="str">
        <x:f>Definitionen!$B$2</x:f>
        <x:v>IP-COHORT-2026-10-28-01</x:v>
      </x:c>
    </x:row>
    <x:row r="337" ht="30" customHeight="1">
      <x:c r="A337" s="182" t="str">
        <x:f>'Stationen Abfrage dataprocessor'!$A$71</x:f>
        <x:v>UK Mainz (UKM)</x:v>
      </x:c>
      <x:c r="B337" s="182" t="str">
        <x:f>'Stationen Abfrage dataprocessor'!$D$71</x:f>
        <x:v>HC06</x:v>
      </x:c>
      <x:c r="C337" s="182" t="str">
        <x:v>CRS-B</x:v>
      </x:c>
      <x:c r="D337" s="182" t="str">
        <x:f>'Stationen Abfrage dataprocessor'!$O$71</x:f>
        <x:v>ja</x:v>
      </x:c>
      <x:c r="E337" s="189" t="n">
        <x:f>IF(G337="definiert",MAX('Stationen Abfrage dataprocessor'!$E$71,'Stationen Abfrage dataprocessor'!$G$71),"")</x:f>
        <x:v>46143</x:v>
      </x:c>
      <x:c r="F337" s="189" t="n">
        <x:f>IF(G337="definiert",'Stationen Abfrage dataprocessor'!$H$71+1,"")</x:f>
        <x:v>46221</x:v>
      </x:c>
      <x:c r="G337" s="182" t="str">
        <x:f>IF(D337="nein","nicht_anwendbar",IF(D337&lt;&gt;"ja","Konfiguration fehlt",IF(OR(NOT(ISNUMBER('Stationen Abfrage dataprocessor'!$E$71)),NOT(ISNUMBER('Stationen Abfrage dataprocessor'!$G$71)),NOT(ISNUMBER('Stationen Abfrage dataprocessor'!$H$71))),"Konfiguration fehlt",IF(('Stationen Abfrage dataprocessor'!$H$71+1)&lt;=(MAX('Stationen Abfrage dataprocessor'!$E$71,'Stationen Abfrage dataprocessor'!$G$71)),"kein_beobachtetes_fenster","definiert"))))</x:f>
        <x:v>definiert</x:v>
      </x:c>
      <x:c r="H337" s="182" t="str">
        <x:v>nein</x:v>
      </x:c>
      <x:c r="I337" s="182" t="str">
        <x:v>nein</x:v>
      </x:c>
      <x:c r="J337" s="182" t="str">
        <x:f>'Stationen Abfrage dataprocessor'!$S$71</x:f>
        <x:v>fallbezogen prüfen</x:v>
      </x:c>
      <x:c r="K337" s="190" t="n">
        <x:f>IF(G337="definiert",F337-E337,"")</x:f>
        <x:v>78</x:v>
      </x:c>
      <x:c r="L337" s="182" t="n">
        <x:v>71</x:v>
      </x:c>
      <x:c r="M337" s="182" t="str">
        <x:f>IF('Stationen Abfrage dataprocessor'!$K$71="","",'Stationen Abfrage dataprocessor'!$K$71)</x:f>
      </x:c>
      <x:c r="N337" s="182" t="str">
        <x:f>Definitionen!$B$2</x:f>
        <x:v>IP-COHORT-2026-10-28-01</x:v>
      </x:c>
    </x:row>
    <x:row r="338" ht="30" customHeight="1">
      <x:c r="A338" s="182" t="str">
        <x:f>'Stationen Abfrage dataprocessor'!$A$71</x:f>
        <x:v>UK Mainz (UKM)</x:v>
      </x:c>
      <x:c r="B338" s="182" t="str">
        <x:f>'Stationen Abfrage dataprocessor'!$D$71</x:f>
        <x:v>HC06</x:v>
      </x:c>
      <x:c r="C338" s="182" t="str">
        <x:v>RES</x:v>
      </x:c>
      <x:c r="D338" s="182" t="str">
        <x:f>'Stationen Abfrage dataprocessor'!$P$71</x:f>
        <x:v>ja</x:v>
      </x:c>
      <x:c r="E338" s="189" t="n">
        <x:f>IF(G338="definiert",MAX('Stationen Abfrage dataprocessor'!$E$71,'Stationen Abfrage dataprocessor'!$G$71),"")</x:f>
        <x:v>46143</x:v>
      </x:c>
      <x:c r="F338" s="189" t="n">
        <x:f>IF(G338="definiert",'Stationen Abfrage dataprocessor'!$H$71+1,"")</x:f>
        <x:v>46221</x:v>
      </x:c>
      <x:c r="G338" s="182" t="str">
        <x:f>IF(D338="nein","nicht_anwendbar",IF(D338&lt;&gt;"ja","Konfiguration fehlt",IF(OR(NOT(ISNUMBER('Stationen Abfrage dataprocessor'!$E$71)),NOT(ISNUMBER('Stationen Abfrage dataprocessor'!$G$71)),NOT(ISNUMBER('Stationen Abfrage dataprocessor'!$H$71))),"Konfiguration fehlt",IF(('Stationen Abfrage dataprocessor'!$H$71+1)&lt;=(MAX('Stationen Abfrage dataprocessor'!$E$71,'Stationen Abfrage dataprocessor'!$G$71)),"kein_beobachtetes_fenster","definiert"))))</x:f>
        <x:v>definiert</x:v>
      </x:c>
      <x:c r="H338" s="182" t="str">
        <x:v>ja</x:v>
      </x:c>
      <x:c r="I338" s="182" t="str">
        <x:v>ja</x:v>
      </x:c>
      <x:c r="J338" s="182" t="str">
        <x:f>'Stationen Abfrage dataprocessor'!$S$71</x:f>
        <x:v>fallbezogen prüfen</x:v>
      </x:c>
      <x:c r="K338" s="190" t="n">
        <x:f>IF(G338="definiert",F338-E338,"")</x:f>
        <x:v>78</x:v>
      </x:c>
      <x:c r="L338" s="182" t="n">
        <x:v>71</x:v>
      </x:c>
      <x:c r="M338" s="182" t="str">
        <x:f>IF('Stationen Abfrage dataprocessor'!$K$71="","",'Stationen Abfrage dataprocessor'!$K$71)</x:f>
      </x:c>
      <x:c r="N338" s="182" t="str">
        <x:f>Definitionen!$B$2</x:f>
        <x:v>IP-COHORT-2026-10-28-01</x:v>
      </x:c>
    </x:row>
    <x:row r="339" ht="30" customHeight="1">
      <x:c r="A339" s="182" t="str">
        <x:f>'Stationen Abfrage dataprocessor'!$A$71</x:f>
        <x:v>UK Mainz (UKM)</x:v>
      </x:c>
      <x:c r="B339" s="182" t="str">
        <x:f>'Stationen Abfrage dataprocessor'!$D$71</x:f>
        <x:v>HC06</x:v>
      </x:c>
      <x:c r="C339" s="182" t="str">
        <x:v>TRS</x:v>
      </x:c>
      <x:c r="D339" s="182" t="str">
        <x:f>'Stationen Abfrage dataprocessor'!$Q$71</x:f>
        <x:v>ja</x:v>
      </x:c>
      <x:c r="E339" s="189" t="n">
        <x:f>IF(G339="definiert",'Stationen Abfrage dataprocessor'!$E$71,"")</x:f>
        <x:v>45839</x:v>
      </x:c>
      <x:c r="F339" s="189" t="n">
        <x:f>IF(G339="definiert",'Stationen Abfrage dataprocessor'!$H$71+1,"")</x:f>
        <x:v>46221</x:v>
      </x:c>
      <x:c r="G339" s="182" t="str">
        <x:f>IF(D339="nein","nicht_anwendbar",IF(D339&lt;&gt;"ja","Konfiguration fehlt",IF(OR(NOT(ISNUMBER('Stationen Abfrage dataprocessor'!$E$71)),NOT(ISNUMBER('Stationen Abfrage dataprocessor'!$H$71))),"Konfiguration fehlt",IF(('Stationen Abfrage dataprocessor'!$H$71+1)&lt;=('Stationen Abfrage dataprocessor'!$E$71),"kein_beobachtetes_fenster","definiert"))))</x:f>
        <x:v>definiert</x:v>
      </x:c>
      <x:c r="H339" s="182" t="str">
        <x:v>ja</x:v>
      </x:c>
      <x:c r="I339" s="182" t="str">
        <x:v>nein</x:v>
      </x:c>
      <x:c r="J339" s="182" t="str">
        <x:f>"nicht Voraussetzung"</x:f>
        <x:v>nicht Voraussetzung</x:v>
      </x:c>
      <x:c r="K339" s="190" t="n">
        <x:f>IF(G339="definiert",F339-E339,"")</x:f>
        <x:v>382</x:v>
      </x:c>
      <x:c r="L339" s="182" t="n">
        <x:v>71</x:v>
      </x:c>
      <x:c r="M339" s="182" t="str">
        <x:f>IF('Stationen Abfrage dataprocessor'!$K$71="","",'Stationen Abfrage dataprocessor'!$K$71)</x:f>
      </x:c>
      <x:c r="N339" s="182" t="str">
        <x:f>Definitionen!$B$2</x:f>
        <x:v>IP-COHORT-2026-10-28-01</x:v>
      </x:c>
    </x:row>
    <x:row r="340" ht="72" customHeight="1">
      <x:c r="A340" s="182" t="str">
        <x:f>'Stationen Abfrage dataprocessor'!$A$72</x:f>
        <x:v>UK Mainz (UKM)</x:v>
      </x:c>
      <x:c r="B340" s="182" t="str">
        <x:f>'Stationen Abfrage dataprocessor'!$D$72</x:f>
        <x:v>HC01</x:v>
      </x:c>
      <x:c r="C340" s="182" t="str">
        <x:v>BS</x:v>
      </x:c>
      <x:c r="D340" s="182" t="str">
        <x:f>'Stationen Abfrage dataprocessor'!$M$72</x:f>
        <x:v>ja</x:v>
      </x:c>
      <x:c r="E340" s="189" t="n">
        <x:f>IF(G340="definiert",'Stationen Abfrage dataprocessor'!$E$72,"")</x:f>
        <x:v>45839</x:v>
      </x:c>
      <x:c r="F340" s="189" t="n">
        <x:f>IF(G340="definiert",IF('Stationen Abfrage dataprocessor'!$T$72="Studienende",'Stationen Abfrage dataprocessor'!$H$72+1,MIN('Stationen Abfrage dataprocessor'!$F$72,'Stationen Abfrage dataprocessor'!$H$72+1)),"")</x:f>
        <x:v>46059</x:v>
      </x:c>
      <x:c r="G340" s="182" t="str">
        <x:f>IF(D340="nein","nicht_anwendbar",IF(D340&lt;&gt;"ja","Konfiguration fehlt",IF(OR(NOT(ISNUMBER('Stationen Abfrage dataprocessor'!$E$72)),NOT(ISNUMBER('Stationen Abfrage dataprocessor'!$H$72)),AND('Stationen Abfrage dataprocessor'!$T$72&lt;&gt;"Phasengrenze",'Stationen Abfrage dataprocessor'!$T$72&lt;&gt;"Studienende"),AND('Stationen Abfrage dataprocessor'!$T$72="Phasengrenze",NOT(ISNUMBER('Stationen Abfrage dataprocessor'!$F$72)))),"Konfiguration fehlt",IF((IF('Stationen Abfrage dataprocessor'!$T$72="Studienende",'Stationen Abfrage dataprocessor'!$H$72+1,MIN('Stationen Abfrage dataprocessor'!$F$72,'Stationen Abfrage dataprocessor'!$H$72+1)))&lt;=('Stationen Abfrage dataprocessor'!$E$72),"kein_beobachtetes_fenster","definiert"))))</x:f>
        <x:v>definiert</x:v>
      </x:c>
      <x:c r="H340" s="182" t="str">
        <x:v>nein</x:v>
      </x:c>
      <x:c r="I340" s="182" t="str">
        <x:v>nein</x:v>
      </x:c>
      <x:c r="J340" s="182" t="str">
        <x:f>"nicht Voraussetzung"</x:f>
        <x:v>nicht Voraussetzung</x:v>
      </x:c>
      <x:c r="K340" s="190" t="n">
        <x:f>IF(G340="definiert",F340-E340,"")</x:f>
        <x:v>220</x:v>
      </x:c>
      <x:c r="L340" s="182" t="n">
        <x:v>72</x:v>
      </x:c>
      <x:c r="M340" s="182" t="str">
        <x:f>IF('Stationen Abfrage dataprocessor'!$K$72="","",'Stationen Abfrage dataprocessor'!$K$72)</x:f>
        <x:v>Einschluss nur BS, RES und TRS; keine CRS-A/CRS-B-Teilnahme. Keine automatische Umbenennung zu HC06.</x:v>
      </x:c>
      <x:c r="N340" s="182" t="str">
        <x:f>Definitionen!$B$2</x:f>
        <x:v>IP-COHORT-2026-10-28-01</x:v>
      </x:c>
    </x:row>
    <x:row r="341" ht="72" customHeight="1">
      <x:c r="A341" s="182" t="str">
        <x:f>'Stationen Abfrage dataprocessor'!$A$72</x:f>
        <x:v>UK Mainz (UKM)</x:v>
      </x:c>
      <x:c r="B341" s="182" t="str">
        <x:f>'Stationen Abfrage dataprocessor'!$D$72</x:f>
        <x:v>HC01</x:v>
      </x:c>
      <x:c r="C341" s="182" t="str">
        <x:v>CRS-A</x:v>
      </x:c>
      <x:c r="D341" s="182" t="str">
        <x:f>'Stationen Abfrage dataprocessor'!$N$72</x:f>
        <x:v>nein</x:v>
      </x:c>
      <x:c r="E341" s="189" t="str">
        <x:f>IF(G341="definiert",MAX('Stationen Abfrage dataprocessor'!$E$72,'Stationen Abfrage dataprocessor'!$F$72),"")</x:f>
      </x:c>
      <x:c r="F341" s="189" t="str">
        <x:f>IF(G341="definiert",MIN('Stationen Abfrage dataprocessor'!$G$72,'Stationen Abfrage dataprocessor'!$H$72+1),"")</x:f>
      </x:c>
      <x:c r="G341" s="182" t="str">
        <x:f>IF(D341="nein","nicht_anwendbar",IF(D341&lt;&gt;"ja","Konfiguration fehlt",IF(OR(NOT(ISNUMBER('Stationen Abfrage dataprocessor'!$E$72)),NOT(ISNUMBER('Stationen Abfrage dataprocessor'!$F$72)),NOT(ISNUMBER('Stationen Abfrage dataprocessor'!$G$72)),NOT(ISNUMBER('Stationen Abfrage dataprocessor'!$H$72))),"Konfiguration fehlt",IF((MIN('Stationen Abfrage dataprocessor'!$G$72,'Stationen Abfrage dataprocessor'!$H$72+1))&lt;=(MAX('Stationen Abfrage dataprocessor'!$E$72,'Stationen Abfrage dataprocessor'!$F$72)),"kein_beobachtetes_fenster","definiert"))))</x:f>
        <x:v>nicht_anwendbar</x:v>
      </x:c>
      <x:c r="H341" s="182" t="str">
        <x:v>nein</x:v>
      </x:c>
      <x:c r="I341" s="182" t="str">
        <x:v>nein</x:v>
      </x:c>
      <x:c r="J341" s="182" t="str">
        <x:f>"nicht Voraussetzung"</x:f>
        <x:v>nicht Voraussetzung</x:v>
      </x:c>
      <x:c r="K341" s="190" t="str">
        <x:f>IF(G341="definiert",F341-E341,"")</x:f>
      </x:c>
      <x:c r="L341" s="182" t="n">
        <x:v>72</x:v>
      </x:c>
      <x:c r="M341" s="182" t="str">
        <x:f>IF('Stationen Abfrage dataprocessor'!$K$72="","",'Stationen Abfrage dataprocessor'!$K$72)</x:f>
        <x:v>Einschluss nur BS, RES und TRS; keine CRS-A/CRS-B-Teilnahme. Keine automatische Umbenennung zu HC06.</x:v>
      </x:c>
      <x:c r="N341" s="182" t="str">
        <x:f>Definitionen!$B$2</x:f>
        <x:v>IP-COHORT-2026-10-28-01</x:v>
      </x:c>
    </x:row>
    <x:row r="342" ht="72" customHeight="1">
      <x:c r="A342" s="182" t="str">
        <x:f>'Stationen Abfrage dataprocessor'!$A$72</x:f>
        <x:v>UK Mainz (UKM)</x:v>
      </x:c>
      <x:c r="B342" s="182" t="str">
        <x:f>'Stationen Abfrage dataprocessor'!$D$72</x:f>
        <x:v>HC01</x:v>
      </x:c>
      <x:c r="C342" s="182" t="str">
        <x:v>CRS-B</x:v>
      </x:c>
      <x:c r="D342" s="182" t="str">
        <x:f>'Stationen Abfrage dataprocessor'!$O$72</x:f>
        <x:v>nein</x:v>
      </x:c>
      <x:c r="E342" s="189" t="str">
        <x:f>IF(G342="definiert",MAX('Stationen Abfrage dataprocessor'!$E$72,'Stationen Abfrage dataprocessor'!$G$72),"")</x:f>
      </x:c>
      <x:c r="F342" s="189" t="str">
        <x:f>IF(G342="definiert",'Stationen Abfrage dataprocessor'!$H$72+1,"")</x:f>
      </x:c>
      <x:c r="G342" s="182" t="str">
        <x:f>IF(D342="nein","nicht_anwendbar",IF(D342&lt;&gt;"ja","Konfiguration fehlt",IF(OR(NOT(ISNUMBER('Stationen Abfrage dataprocessor'!$E$72)),NOT(ISNUMBER('Stationen Abfrage dataprocessor'!$G$72)),NOT(ISNUMBER('Stationen Abfrage dataprocessor'!$H$72))),"Konfiguration fehlt",IF(('Stationen Abfrage dataprocessor'!$H$72+1)&lt;=(MAX('Stationen Abfrage dataprocessor'!$E$72,'Stationen Abfrage dataprocessor'!$G$72)),"kein_beobachtetes_fenster","definiert"))))</x:f>
        <x:v>nicht_anwendbar</x:v>
      </x:c>
      <x:c r="H342" s="182" t="str">
        <x:v>nein</x:v>
      </x:c>
      <x:c r="I342" s="182" t="str">
        <x:v>nein</x:v>
      </x:c>
      <x:c r="J342" s="182" t="str">
        <x:f>'Stationen Abfrage dataprocessor'!$S$72</x:f>
        <x:v>fallbezogen prüfen</x:v>
      </x:c>
      <x:c r="K342" s="190" t="str">
        <x:f>IF(G342="definiert",F342-E342,"")</x:f>
      </x:c>
      <x:c r="L342" s="182" t="n">
        <x:v>72</x:v>
      </x:c>
      <x:c r="M342" s="182" t="str">
        <x:f>IF('Stationen Abfrage dataprocessor'!$K$72="","",'Stationen Abfrage dataprocessor'!$K$72)</x:f>
        <x:v>Einschluss nur BS, RES und TRS; keine CRS-A/CRS-B-Teilnahme. Keine automatische Umbenennung zu HC06.</x:v>
      </x:c>
      <x:c r="N342" s="182" t="str">
        <x:f>Definitionen!$B$2</x:f>
        <x:v>IP-COHORT-2026-10-28-01</x:v>
      </x:c>
    </x:row>
    <x:row r="343" ht="72" customHeight="1">
      <x:c r="A343" s="182" t="str">
        <x:f>'Stationen Abfrage dataprocessor'!$A$72</x:f>
        <x:v>UK Mainz (UKM)</x:v>
      </x:c>
      <x:c r="B343" s="182" t="str">
        <x:f>'Stationen Abfrage dataprocessor'!$D$72</x:f>
        <x:v>HC01</x:v>
      </x:c>
      <x:c r="C343" s="182" t="str">
        <x:v>RES</x:v>
      </x:c>
      <x:c r="D343" s="182" t="str">
        <x:f>'Stationen Abfrage dataprocessor'!$P$72</x:f>
        <x:v>ja</x:v>
      </x:c>
      <x:c r="E343" s="189" t="n">
        <x:f>IF(G343="definiert",MAX('Stationen Abfrage dataprocessor'!$E$72,'Stationen Abfrage dataprocessor'!$G$72),"")</x:f>
        <x:v>46143</x:v>
      </x:c>
      <x:c r="F343" s="189" t="n">
        <x:f>IF(G343="definiert",'Stationen Abfrage dataprocessor'!$H$72+1,"")</x:f>
        <x:v>46266</x:v>
      </x:c>
      <x:c r="G343" s="182" t="str">
        <x:f>IF(D343="nein","nicht_anwendbar",IF(D343&lt;&gt;"ja","Konfiguration fehlt",IF(OR(NOT(ISNUMBER('Stationen Abfrage dataprocessor'!$E$72)),NOT(ISNUMBER('Stationen Abfrage dataprocessor'!$G$72)),NOT(ISNUMBER('Stationen Abfrage dataprocessor'!$H$72))),"Konfiguration fehlt",IF(('Stationen Abfrage dataprocessor'!$H$72+1)&lt;=(MAX('Stationen Abfrage dataprocessor'!$E$72,'Stationen Abfrage dataprocessor'!$G$72)),"kein_beobachtetes_fenster","definiert"))))</x:f>
        <x:v>definiert</x:v>
      </x:c>
      <x:c r="H343" s="182" t="str">
        <x:v>ja</x:v>
      </x:c>
      <x:c r="I343" s="182" t="str">
        <x:v>ja</x:v>
      </x:c>
      <x:c r="J343" s="182" t="str">
        <x:f>'Stationen Abfrage dataprocessor'!$S$72</x:f>
        <x:v>fallbezogen prüfen</x:v>
      </x:c>
      <x:c r="K343" s="190" t="n">
        <x:f>IF(G343="definiert",F343-E343,"")</x:f>
        <x:v>123</x:v>
      </x:c>
      <x:c r="L343" s="182" t="n">
        <x:v>72</x:v>
      </x:c>
      <x:c r="M343" s="182" t="str">
        <x:f>IF('Stationen Abfrage dataprocessor'!$K$72="","",'Stationen Abfrage dataprocessor'!$K$72)</x:f>
        <x:v>Einschluss nur BS, RES und TRS; keine CRS-A/CRS-B-Teilnahme. Keine automatische Umbenennung zu HC06.</x:v>
      </x:c>
      <x:c r="N343" s="182" t="str">
        <x:f>Definitionen!$B$2</x:f>
        <x:v>IP-COHORT-2026-10-28-01</x:v>
      </x:c>
    </x:row>
    <x:row r="344" ht="72" customHeight="1">
      <x:c r="A344" s="182" t="str">
        <x:f>'Stationen Abfrage dataprocessor'!$A$72</x:f>
        <x:v>UK Mainz (UKM)</x:v>
      </x:c>
      <x:c r="B344" s="182" t="str">
        <x:f>'Stationen Abfrage dataprocessor'!$D$72</x:f>
        <x:v>HC01</x:v>
      </x:c>
      <x:c r="C344" s="182" t="str">
        <x:v>TRS</x:v>
      </x:c>
      <x:c r="D344" s="182" t="str">
        <x:f>'Stationen Abfrage dataprocessor'!$Q$72</x:f>
        <x:v>ja</x:v>
      </x:c>
      <x:c r="E344" s="189" t="n">
        <x:f>IF(G344="definiert",'Stationen Abfrage dataprocessor'!$E$72,"")</x:f>
        <x:v>45839</x:v>
      </x:c>
      <x:c r="F344" s="189" t="n">
        <x:f>IF(G344="definiert",'Stationen Abfrage dataprocessor'!$H$72+1,"")</x:f>
        <x:v>46266</x:v>
      </x:c>
      <x:c r="G344" s="182" t="str">
        <x:f>IF(D344="nein","nicht_anwendbar",IF(D344&lt;&gt;"ja","Konfiguration fehlt",IF(OR(NOT(ISNUMBER('Stationen Abfrage dataprocessor'!$E$72)),NOT(ISNUMBER('Stationen Abfrage dataprocessor'!$H$72))),"Konfiguration fehlt",IF(('Stationen Abfrage dataprocessor'!$H$72+1)&lt;=('Stationen Abfrage dataprocessor'!$E$72),"kein_beobachtetes_fenster","definiert"))))</x:f>
        <x:v>definiert</x:v>
      </x:c>
      <x:c r="H344" s="182" t="str">
        <x:v>ja</x:v>
      </x:c>
      <x:c r="I344" s="182" t="str">
        <x:v>nein</x:v>
      </x:c>
      <x:c r="J344" s="182" t="str">
        <x:f>"nicht Voraussetzung"</x:f>
        <x:v>nicht Voraussetzung</x:v>
      </x:c>
      <x:c r="K344" s="190" t="n">
        <x:f>IF(G344="definiert",F344-E344,"")</x:f>
        <x:v>427</x:v>
      </x:c>
      <x:c r="L344" s="182" t="n">
        <x:v>72</x:v>
      </x:c>
      <x:c r="M344" s="182" t="str">
        <x:f>IF('Stationen Abfrage dataprocessor'!$K$72="","",'Stationen Abfrage dataprocessor'!$K$72)</x:f>
        <x:v>Einschluss nur BS, RES und TRS; keine CRS-A/CRS-B-Teilnahme. Keine automatische Umbenennung zu HC06.</x:v>
      </x:c>
      <x:c r="N344" s="182" t="str">
        <x:f>Definitionen!$B$2</x:f>
        <x:v>IP-COHORT-2026-10-28-01</x:v>
      </x:c>
    </x:row>
    <x:row r="345" ht="72" customHeight="1">
      <x:c r="A345" s="182" t="str">
        <x:f>'Stationen Abfrage dataprocessor'!$A$73</x:f>
        <x:v>UK Mainz (UKM)</x:v>
      </x:c>
      <x:c r="B345" s="182" t="str">
        <x:f>'Stationen Abfrage dataprocessor'!$D$73</x:f>
        <x:v>HC07</x:v>
      </x:c>
      <x:c r="C345" s="182" t="str">
        <x:v>BS</x:v>
      </x:c>
      <x:c r="D345" s="182" t="str">
        <x:f>'Stationen Abfrage dataprocessor'!$M$73</x:f>
        <x:v>ja</x:v>
      </x:c>
      <x:c r="E345" s="189" t="n">
        <x:f>IF(G345="definiert",'Stationen Abfrage dataprocessor'!$E$73,"")</x:f>
        <x:v>45839</x:v>
      </x:c>
      <x:c r="F345" s="189" t="n">
        <x:f>IF(G345="definiert",IF('Stationen Abfrage dataprocessor'!$T$73="Studienende",'Stationen Abfrage dataprocessor'!$H$73+1,MIN('Stationen Abfrage dataprocessor'!$F$73,'Stationen Abfrage dataprocessor'!$H$73+1)),"")</x:f>
        <x:v>46059</x:v>
      </x:c>
      <x:c r="G345" s="182" t="str">
        <x:f>IF(D345="nein","nicht_anwendbar",IF(D345&lt;&gt;"ja","Konfiguration fehlt",IF(OR(NOT(ISNUMBER('Stationen Abfrage dataprocessor'!$E$73)),NOT(ISNUMBER('Stationen Abfrage dataprocessor'!$H$73)),AND('Stationen Abfrage dataprocessor'!$T$73&lt;&gt;"Phasengrenze",'Stationen Abfrage dataprocessor'!$T$73&lt;&gt;"Studienende"),AND('Stationen Abfrage dataprocessor'!$T$73="Phasengrenze",NOT(ISNUMBER('Stationen Abfrage dataprocessor'!$F$73)))),"Konfiguration fehlt",IF((IF('Stationen Abfrage dataprocessor'!$T$73="Studienende",'Stationen Abfrage dataprocessor'!$H$73+1,MIN('Stationen Abfrage dataprocessor'!$F$73,'Stationen Abfrage dataprocessor'!$H$73+1)))&lt;=('Stationen Abfrage dataprocessor'!$E$73),"kein_beobachtetes_fenster","definiert"))))</x:f>
        <x:v>definiert</x:v>
      </x:c>
      <x:c r="H345" s="182" t="str">
        <x:v>nein</x:v>
      </x:c>
      <x:c r="I345" s="182" t="str">
        <x:v>nein</x:v>
      </x:c>
      <x:c r="J345" s="182" t="str">
        <x:f>"nicht Voraussetzung"</x:f>
        <x:v>nicht Voraussetzung</x:v>
      </x:c>
      <x:c r="K345" s="190" t="n">
        <x:f>IF(G345="definiert",F345-E345,"")</x:f>
        <x:v>220</x:v>
      </x:c>
      <x:c r="L345" s="182" t="n">
        <x:v>73</x:v>
      </x:c>
      <x:c r="M345" s="182" t="str">
        <x:f>IF('Stationen Abfrage dataprocessor'!$K$73="","",'Stationen Abfrage dataprocessor'!$K$73)</x:f>
        <x:v>Einschluss nur BS, RES und TRS; keine CRS-A/CRS-B-Teilnahme. Keine automatische Umbenennung zu HC06.</x:v>
      </x:c>
      <x:c r="N345" s="182" t="str">
        <x:f>Definitionen!$B$2</x:f>
        <x:v>IP-COHORT-2026-10-28-01</x:v>
      </x:c>
    </x:row>
    <x:row r="346" ht="72" customHeight="1">
      <x:c r="A346" s="182" t="str">
        <x:f>'Stationen Abfrage dataprocessor'!$A$73</x:f>
        <x:v>UK Mainz (UKM)</x:v>
      </x:c>
      <x:c r="B346" s="182" t="str">
        <x:f>'Stationen Abfrage dataprocessor'!$D$73</x:f>
        <x:v>HC07</x:v>
      </x:c>
      <x:c r="C346" s="182" t="str">
        <x:v>CRS-A</x:v>
      </x:c>
      <x:c r="D346" s="182" t="str">
        <x:f>'Stationen Abfrage dataprocessor'!$N$73</x:f>
        <x:v>nein</x:v>
      </x:c>
      <x:c r="E346" s="189" t="str">
        <x:f>IF(G346="definiert",MAX('Stationen Abfrage dataprocessor'!$E$73,'Stationen Abfrage dataprocessor'!$F$73),"")</x:f>
      </x:c>
      <x:c r="F346" s="189" t="str">
        <x:f>IF(G346="definiert",MIN('Stationen Abfrage dataprocessor'!$G$73,'Stationen Abfrage dataprocessor'!$H$73+1),"")</x:f>
      </x:c>
      <x:c r="G346" s="182" t="str">
        <x:f>IF(D346="nein","nicht_anwendbar",IF(D346&lt;&gt;"ja","Konfiguration fehlt",IF(OR(NOT(ISNUMBER('Stationen Abfrage dataprocessor'!$E$73)),NOT(ISNUMBER('Stationen Abfrage dataprocessor'!$F$73)),NOT(ISNUMBER('Stationen Abfrage dataprocessor'!$G$73)),NOT(ISNUMBER('Stationen Abfrage dataprocessor'!$H$73))),"Konfiguration fehlt",IF((MIN('Stationen Abfrage dataprocessor'!$G$73,'Stationen Abfrage dataprocessor'!$H$73+1))&lt;=(MAX('Stationen Abfrage dataprocessor'!$E$73,'Stationen Abfrage dataprocessor'!$F$73)),"kein_beobachtetes_fenster","definiert"))))</x:f>
        <x:v>nicht_anwendbar</x:v>
      </x:c>
      <x:c r="H346" s="182" t="str">
        <x:v>nein</x:v>
      </x:c>
      <x:c r="I346" s="182" t="str">
        <x:v>nein</x:v>
      </x:c>
      <x:c r="J346" s="182" t="str">
        <x:f>"nicht Voraussetzung"</x:f>
        <x:v>nicht Voraussetzung</x:v>
      </x:c>
      <x:c r="K346" s="190" t="str">
        <x:f>IF(G346="definiert",F346-E346,"")</x:f>
      </x:c>
      <x:c r="L346" s="182" t="n">
        <x:v>73</x:v>
      </x:c>
      <x:c r="M346" s="182" t="str">
        <x:f>IF('Stationen Abfrage dataprocessor'!$K$73="","",'Stationen Abfrage dataprocessor'!$K$73)</x:f>
        <x:v>Einschluss nur BS, RES und TRS; keine CRS-A/CRS-B-Teilnahme. Keine automatische Umbenennung zu HC06.</x:v>
      </x:c>
      <x:c r="N346" s="182" t="str">
        <x:f>Definitionen!$B$2</x:f>
        <x:v>IP-COHORT-2026-10-28-01</x:v>
      </x:c>
    </x:row>
    <x:row r="347" ht="72" customHeight="1">
      <x:c r="A347" s="182" t="str">
        <x:f>'Stationen Abfrage dataprocessor'!$A$73</x:f>
        <x:v>UK Mainz (UKM)</x:v>
      </x:c>
      <x:c r="B347" s="182" t="str">
        <x:f>'Stationen Abfrage dataprocessor'!$D$73</x:f>
        <x:v>HC07</x:v>
      </x:c>
      <x:c r="C347" s="182" t="str">
        <x:v>CRS-B</x:v>
      </x:c>
      <x:c r="D347" s="182" t="str">
        <x:f>'Stationen Abfrage dataprocessor'!$O$73</x:f>
        <x:v>nein</x:v>
      </x:c>
      <x:c r="E347" s="189" t="str">
        <x:f>IF(G347="definiert",MAX('Stationen Abfrage dataprocessor'!$E$73,'Stationen Abfrage dataprocessor'!$G$73),"")</x:f>
      </x:c>
      <x:c r="F347" s="189" t="str">
        <x:f>IF(G347="definiert",'Stationen Abfrage dataprocessor'!$H$73+1,"")</x:f>
      </x:c>
      <x:c r="G347" s="182" t="str">
        <x:f>IF(D347="nein","nicht_anwendbar",IF(D347&lt;&gt;"ja","Konfiguration fehlt",IF(OR(NOT(ISNUMBER('Stationen Abfrage dataprocessor'!$E$73)),NOT(ISNUMBER('Stationen Abfrage dataprocessor'!$G$73)),NOT(ISNUMBER('Stationen Abfrage dataprocessor'!$H$73))),"Konfiguration fehlt",IF(('Stationen Abfrage dataprocessor'!$H$73+1)&lt;=(MAX('Stationen Abfrage dataprocessor'!$E$73,'Stationen Abfrage dataprocessor'!$G$73)),"kein_beobachtetes_fenster","definiert"))))</x:f>
        <x:v>nicht_anwendbar</x:v>
      </x:c>
      <x:c r="H347" s="182" t="str">
        <x:v>nein</x:v>
      </x:c>
      <x:c r="I347" s="182" t="str">
        <x:v>nein</x:v>
      </x:c>
      <x:c r="J347" s="182" t="str">
        <x:f>'Stationen Abfrage dataprocessor'!$S$73</x:f>
        <x:v>fallbezogen prüfen</x:v>
      </x:c>
      <x:c r="K347" s="190" t="str">
        <x:f>IF(G347="definiert",F347-E347,"")</x:f>
      </x:c>
      <x:c r="L347" s="182" t="n">
        <x:v>73</x:v>
      </x:c>
      <x:c r="M347" s="182" t="str">
        <x:f>IF('Stationen Abfrage dataprocessor'!$K$73="","",'Stationen Abfrage dataprocessor'!$K$73)</x:f>
        <x:v>Einschluss nur BS, RES und TRS; keine CRS-A/CRS-B-Teilnahme. Keine automatische Umbenennung zu HC06.</x:v>
      </x:c>
      <x:c r="N347" s="182" t="str">
        <x:f>Definitionen!$B$2</x:f>
        <x:v>IP-COHORT-2026-10-28-01</x:v>
      </x:c>
    </x:row>
    <x:row r="348" ht="72" customHeight="1">
      <x:c r="A348" s="182" t="str">
        <x:f>'Stationen Abfrage dataprocessor'!$A$73</x:f>
        <x:v>UK Mainz (UKM)</x:v>
      </x:c>
      <x:c r="B348" s="182" t="str">
        <x:f>'Stationen Abfrage dataprocessor'!$D$73</x:f>
        <x:v>HC07</x:v>
      </x:c>
      <x:c r="C348" s="182" t="str">
        <x:v>RES</x:v>
      </x:c>
      <x:c r="D348" s="182" t="str">
        <x:f>'Stationen Abfrage dataprocessor'!$P$73</x:f>
        <x:v>ja</x:v>
      </x:c>
      <x:c r="E348" s="189" t="n">
        <x:f>IF(G348="definiert",MAX('Stationen Abfrage dataprocessor'!$E$73,'Stationen Abfrage dataprocessor'!$G$73),"")</x:f>
        <x:v>46143</x:v>
      </x:c>
      <x:c r="F348" s="189" t="n">
        <x:f>IF(G348="definiert",'Stationen Abfrage dataprocessor'!$H$73+1,"")</x:f>
        <x:v>46266</x:v>
      </x:c>
      <x:c r="G348" s="182" t="str">
        <x:f>IF(D348="nein","nicht_anwendbar",IF(D348&lt;&gt;"ja","Konfiguration fehlt",IF(OR(NOT(ISNUMBER('Stationen Abfrage dataprocessor'!$E$73)),NOT(ISNUMBER('Stationen Abfrage dataprocessor'!$G$73)),NOT(ISNUMBER('Stationen Abfrage dataprocessor'!$H$73))),"Konfiguration fehlt",IF(('Stationen Abfrage dataprocessor'!$H$73+1)&lt;=(MAX('Stationen Abfrage dataprocessor'!$E$73,'Stationen Abfrage dataprocessor'!$G$73)),"kein_beobachtetes_fenster","definiert"))))</x:f>
        <x:v>definiert</x:v>
      </x:c>
      <x:c r="H348" s="182" t="str">
        <x:v>ja</x:v>
      </x:c>
      <x:c r="I348" s="182" t="str">
        <x:v>ja</x:v>
      </x:c>
      <x:c r="J348" s="182" t="str">
        <x:f>'Stationen Abfrage dataprocessor'!$S$73</x:f>
        <x:v>fallbezogen prüfen</x:v>
      </x:c>
      <x:c r="K348" s="190" t="n">
        <x:f>IF(G348="definiert",F348-E348,"")</x:f>
        <x:v>123</x:v>
      </x:c>
      <x:c r="L348" s="182" t="n">
        <x:v>73</x:v>
      </x:c>
      <x:c r="M348" s="182" t="str">
        <x:f>IF('Stationen Abfrage dataprocessor'!$K$73="","",'Stationen Abfrage dataprocessor'!$K$73)</x:f>
        <x:v>Einschluss nur BS, RES und TRS; keine CRS-A/CRS-B-Teilnahme. Keine automatische Umbenennung zu HC06.</x:v>
      </x:c>
      <x:c r="N348" s="182" t="str">
        <x:f>Definitionen!$B$2</x:f>
        <x:v>IP-COHORT-2026-10-28-01</x:v>
      </x:c>
    </x:row>
    <x:row r="349" ht="72" customHeight="1">
      <x:c r="A349" s="182" t="str">
        <x:f>'Stationen Abfrage dataprocessor'!$A$73</x:f>
        <x:v>UK Mainz (UKM)</x:v>
      </x:c>
      <x:c r="B349" s="182" t="str">
        <x:f>'Stationen Abfrage dataprocessor'!$D$73</x:f>
        <x:v>HC07</x:v>
      </x:c>
      <x:c r="C349" s="182" t="str">
        <x:v>TRS</x:v>
      </x:c>
      <x:c r="D349" s="182" t="str">
        <x:f>'Stationen Abfrage dataprocessor'!$Q$73</x:f>
        <x:v>ja</x:v>
      </x:c>
      <x:c r="E349" s="189" t="n">
        <x:f>IF(G349="definiert",'Stationen Abfrage dataprocessor'!$E$73,"")</x:f>
        <x:v>45839</x:v>
      </x:c>
      <x:c r="F349" s="189" t="n">
        <x:f>IF(G349="definiert",'Stationen Abfrage dataprocessor'!$H$73+1,"")</x:f>
        <x:v>46266</x:v>
      </x:c>
      <x:c r="G349" s="182" t="str">
        <x:f>IF(D349="nein","nicht_anwendbar",IF(D349&lt;&gt;"ja","Konfiguration fehlt",IF(OR(NOT(ISNUMBER('Stationen Abfrage dataprocessor'!$E$73)),NOT(ISNUMBER('Stationen Abfrage dataprocessor'!$H$73))),"Konfiguration fehlt",IF(('Stationen Abfrage dataprocessor'!$H$73+1)&lt;=('Stationen Abfrage dataprocessor'!$E$73),"kein_beobachtetes_fenster","definiert"))))</x:f>
        <x:v>definiert</x:v>
      </x:c>
      <x:c r="H349" s="182" t="str">
        <x:v>ja</x:v>
      </x:c>
      <x:c r="I349" s="182" t="str">
        <x:v>nein</x:v>
      </x:c>
      <x:c r="J349" s="182" t="str">
        <x:f>"nicht Voraussetzung"</x:f>
        <x:v>nicht Voraussetzung</x:v>
      </x:c>
      <x:c r="K349" s="190" t="n">
        <x:f>IF(G349="definiert",F349-E349,"")</x:f>
        <x:v>427</x:v>
      </x:c>
      <x:c r="L349" s="182" t="n">
        <x:v>73</x:v>
      </x:c>
      <x:c r="M349" s="182" t="str">
        <x:f>IF('Stationen Abfrage dataprocessor'!$K$73="","",'Stationen Abfrage dataprocessor'!$K$73)</x:f>
        <x:v>Einschluss nur BS, RES und TRS; keine CRS-A/CRS-B-Teilnahme. Keine automatische Umbenennung zu HC06.</x:v>
      </x:c>
      <x:c r="N349" s="182" t="str">
        <x:f>Definitionen!$B$2</x:f>
        <x:v>IP-COHORT-2026-10-28-01</x:v>
      </x:c>
    </x:row>
    <x:row r="350" ht="30" customHeight="1">
      <x:c r="A350" s="182" t="str">
        <x:f>'Stationen Abfrage dataprocessor'!$A$74</x:f>
        <x:v>UK Mainz (UKM)</x:v>
      </x:c>
      <x:c r="B350" s="182" t="str">
        <x:f>'Stationen Abfrage dataprocessor'!$D$74</x:f>
        <x:v>GY03</x:v>
      </x:c>
      <x:c r="C350" s="182" t="str">
        <x:v>BS</x:v>
      </x:c>
      <x:c r="D350" s="182" t="str">
        <x:f>'Stationen Abfrage dataprocessor'!$M$74</x:f>
        <x:v>ja</x:v>
      </x:c>
      <x:c r="E350" s="189" t="n">
        <x:f>IF(G350="definiert",'Stationen Abfrage dataprocessor'!$E$74,"")</x:f>
        <x:v>45839</x:v>
      </x:c>
      <x:c r="F350" s="189" t="n">
        <x:f>IF(G350="definiert",IF('Stationen Abfrage dataprocessor'!$T$74="Studienende",'Stationen Abfrage dataprocessor'!$H$74+1,MIN('Stationen Abfrage dataprocessor'!$F$74,'Stationen Abfrage dataprocessor'!$H$74+1)),"")</x:f>
        <x:v>46059</x:v>
      </x:c>
      <x:c r="G350" s="182" t="str">
        <x:f>IF(D350="nein","nicht_anwendbar",IF(D350&lt;&gt;"ja","Konfiguration fehlt",IF(OR(NOT(ISNUMBER('Stationen Abfrage dataprocessor'!$E$74)),NOT(ISNUMBER('Stationen Abfrage dataprocessor'!$H$74)),AND('Stationen Abfrage dataprocessor'!$T$74&lt;&gt;"Phasengrenze",'Stationen Abfrage dataprocessor'!$T$74&lt;&gt;"Studienende"),AND('Stationen Abfrage dataprocessor'!$T$74="Phasengrenze",NOT(ISNUMBER('Stationen Abfrage dataprocessor'!$F$74)))),"Konfiguration fehlt",IF((IF('Stationen Abfrage dataprocessor'!$T$74="Studienende",'Stationen Abfrage dataprocessor'!$H$74+1,MIN('Stationen Abfrage dataprocessor'!$F$74,'Stationen Abfrage dataprocessor'!$H$74+1)))&lt;=('Stationen Abfrage dataprocessor'!$E$74),"kein_beobachtetes_fenster","definiert"))))</x:f>
        <x:v>definiert</x:v>
      </x:c>
      <x:c r="H350" s="182" t="str">
        <x:v>nein</x:v>
      </x:c>
      <x:c r="I350" s="182" t="str">
        <x:v>nein</x:v>
      </x:c>
      <x:c r="J350" s="182" t="str">
        <x:f>"nicht Voraussetzung"</x:f>
        <x:v>nicht Voraussetzung</x:v>
      </x:c>
      <x:c r="K350" s="190" t="n">
        <x:f>IF(G350="definiert",F350-E350,"")</x:f>
        <x:v>220</x:v>
      </x:c>
      <x:c r="L350" s="182" t="n">
        <x:v>74</x:v>
      </x:c>
      <x:c r="M350" s="182" t="str">
        <x:f>IF('Stationen Abfrage dataprocessor'!$K$74="","",'Stationen Abfrage dataprocessor'!$K$74)</x:f>
      </x:c>
      <x:c r="N350" s="182" t="str">
        <x:f>Definitionen!$B$2</x:f>
        <x:v>IP-COHORT-2026-10-28-01</x:v>
      </x:c>
    </x:row>
    <x:row r="351" ht="30" customHeight="1">
      <x:c r="A351" s="182" t="str">
        <x:f>'Stationen Abfrage dataprocessor'!$A$74</x:f>
        <x:v>UK Mainz (UKM)</x:v>
      </x:c>
      <x:c r="B351" s="182" t="str">
        <x:f>'Stationen Abfrage dataprocessor'!$D$74</x:f>
        <x:v>GY03</x:v>
      </x:c>
      <x:c r="C351" s="182" t="str">
        <x:v>CRS-A</x:v>
      </x:c>
      <x:c r="D351" s="182" t="str">
        <x:f>'Stationen Abfrage dataprocessor'!$N$74</x:f>
        <x:v>ja</x:v>
      </x:c>
      <x:c r="E351" s="189" t="n">
        <x:f>IF(G351="definiert",MAX('Stationen Abfrage dataprocessor'!$E$74,'Stationen Abfrage dataprocessor'!$F$74),"")</x:f>
        <x:v>46059</x:v>
      </x:c>
      <x:c r="F351" s="189" t="n">
        <x:f>IF(G351="definiert",MIN('Stationen Abfrage dataprocessor'!$G$74,'Stationen Abfrage dataprocessor'!$H$74+1),"")</x:f>
        <x:v>46087</x:v>
      </x:c>
      <x:c r="G351" s="182" t="str">
        <x:f>IF(D351="nein","nicht_anwendbar",IF(D351&lt;&gt;"ja","Konfiguration fehlt",IF(OR(NOT(ISNUMBER('Stationen Abfrage dataprocessor'!$E$74)),NOT(ISNUMBER('Stationen Abfrage dataprocessor'!$F$74)),NOT(ISNUMBER('Stationen Abfrage dataprocessor'!$G$74)),NOT(ISNUMBER('Stationen Abfrage dataprocessor'!$H$74))),"Konfiguration fehlt",IF((MIN('Stationen Abfrage dataprocessor'!$G$74,'Stationen Abfrage dataprocessor'!$H$74+1))&lt;=(MAX('Stationen Abfrage dataprocessor'!$E$74,'Stationen Abfrage dataprocessor'!$F$74)),"kein_beobachtetes_fenster","definiert"))))</x:f>
        <x:v>definiert</x:v>
      </x:c>
      <x:c r="H351" s="182" t="str">
        <x:v>nein</x:v>
      </x:c>
      <x:c r="I351" s="182" t="str">
        <x:v>nein</x:v>
      </x:c>
      <x:c r="J351" s="182" t="str">
        <x:f>"nicht Voraussetzung"</x:f>
        <x:v>nicht Voraussetzung</x:v>
      </x:c>
      <x:c r="K351" s="190" t="n">
        <x:f>IF(G351="definiert",F351-E351,"")</x:f>
        <x:v>28</x:v>
      </x:c>
      <x:c r="L351" s="182" t="n">
        <x:v>74</x:v>
      </x:c>
      <x:c r="M351" s="182" t="str">
        <x:f>IF('Stationen Abfrage dataprocessor'!$K$74="","",'Stationen Abfrage dataprocessor'!$K$74)</x:f>
      </x:c>
      <x:c r="N351" s="182" t="str">
        <x:f>Definitionen!$B$2</x:f>
        <x:v>IP-COHORT-2026-10-28-01</x:v>
      </x:c>
    </x:row>
    <x:row r="352" ht="30" customHeight="1">
      <x:c r="A352" s="182" t="str">
        <x:f>'Stationen Abfrage dataprocessor'!$A$74</x:f>
        <x:v>UK Mainz (UKM)</x:v>
      </x:c>
      <x:c r="B352" s="182" t="str">
        <x:f>'Stationen Abfrage dataprocessor'!$D$74</x:f>
        <x:v>GY03</x:v>
      </x:c>
      <x:c r="C352" s="182" t="str">
        <x:v>CRS-B</x:v>
      </x:c>
      <x:c r="D352" s="182" t="str">
        <x:f>'Stationen Abfrage dataprocessor'!$O$74</x:f>
        <x:v>ja</x:v>
      </x:c>
      <x:c r="E352" s="189" t="n">
        <x:f>IF(G352="definiert",MAX('Stationen Abfrage dataprocessor'!$E$74,'Stationen Abfrage dataprocessor'!$G$74),"")</x:f>
        <x:v>46087</x:v>
      </x:c>
      <x:c r="F352" s="189" t="n">
        <x:f>IF(G352="definiert",'Stationen Abfrage dataprocessor'!$H$74+1,"")</x:f>
        <x:v>46099</x:v>
      </x:c>
      <x:c r="G352" s="182" t="str">
        <x:f>IF(D352="nein","nicht_anwendbar",IF(D352&lt;&gt;"ja","Konfiguration fehlt",IF(OR(NOT(ISNUMBER('Stationen Abfrage dataprocessor'!$E$74)),NOT(ISNUMBER('Stationen Abfrage dataprocessor'!$G$74)),NOT(ISNUMBER('Stationen Abfrage dataprocessor'!$H$74))),"Konfiguration fehlt",IF(('Stationen Abfrage dataprocessor'!$H$74+1)&lt;=(MAX('Stationen Abfrage dataprocessor'!$E$74,'Stationen Abfrage dataprocessor'!$G$74)),"kein_beobachtetes_fenster","definiert"))))</x:f>
        <x:v>definiert</x:v>
      </x:c>
      <x:c r="H352" s="182" t="str">
        <x:v>nein</x:v>
      </x:c>
      <x:c r="I352" s="182" t="str">
        <x:v>nein</x:v>
      </x:c>
      <x:c r="J352" s="182" t="str">
        <x:f>'Stationen Abfrage dataprocessor'!$S$74</x:f>
        <x:v>fallbezogen prüfen</x:v>
      </x:c>
      <x:c r="K352" s="190" t="n">
        <x:f>IF(G352="definiert",F352-E352,"")</x:f>
        <x:v>12</x:v>
      </x:c>
      <x:c r="L352" s="182" t="n">
        <x:v>74</x:v>
      </x:c>
      <x:c r="M352" s="182" t="str">
        <x:f>IF('Stationen Abfrage dataprocessor'!$K$74="","",'Stationen Abfrage dataprocessor'!$K$74)</x:f>
      </x:c>
      <x:c r="N352" s="182" t="str">
        <x:f>Definitionen!$B$2</x:f>
        <x:v>IP-COHORT-2026-10-28-01</x:v>
      </x:c>
    </x:row>
    <x:row r="353" ht="30" customHeight="1">
      <x:c r="A353" s="182" t="str">
        <x:f>'Stationen Abfrage dataprocessor'!$A$74</x:f>
        <x:v>UK Mainz (UKM)</x:v>
      </x:c>
      <x:c r="B353" s="182" t="str">
        <x:f>'Stationen Abfrage dataprocessor'!$D$74</x:f>
        <x:v>GY03</x:v>
      </x:c>
      <x:c r="C353" s="182" t="str">
        <x:v>RES</x:v>
      </x:c>
      <x:c r="D353" s="182" t="str">
        <x:f>'Stationen Abfrage dataprocessor'!$P$74</x:f>
        <x:v>ja</x:v>
      </x:c>
      <x:c r="E353" s="189" t="n">
        <x:f>IF(G353="definiert",MAX('Stationen Abfrage dataprocessor'!$E$74,'Stationen Abfrage dataprocessor'!$G$74),"")</x:f>
        <x:v>46087</x:v>
      </x:c>
      <x:c r="F353" s="189" t="n">
        <x:f>IF(G353="definiert",'Stationen Abfrage dataprocessor'!$H$74+1,"")</x:f>
        <x:v>46099</x:v>
      </x:c>
      <x:c r="G353" s="182" t="str">
        <x:f>IF(D353="nein","nicht_anwendbar",IF(D353&lt;&gt;"ja","Konfiguration fehlt",IF(OR(NOT(ISNUMBER('Stationen Abfrage dataprocessor'!$E$74)),NOT(ISNUMBER('Stationen Abfrage dataprocessor'!$G$74)),NOT(ISNUMBER('Stationen Abfrage dataprocessor'!$H$74))),"Konfiguration fehlt",IF(('Stationen Abfrage dataprocessor'!$H$74+1)&lt;=(MAX('Stationen Abfrage dataprocessor'!$E$74,'Stationen Abfrage dataprocessor'!$G$74)),"kein_beobachtetes_fenster","definiert"))))</x:f>
        <x:v>definiert</x:v>
      </x:c>
      <x:c r="H353" s="182" t="str">
        <x:v>ja</x:v>
      </x:c>
      <x:c r="I353" s="182" t="str">
        <x:v>ja</x:v>
      </x:c>
      <x:c r="J353" s="182" t="str">
        <x:f>'Stationen Abfrage dataprocessor'!$S$74</x:f>
        <x:v>fallbezogen prüfen</x:v>
      </x:c>
      <x:c r="K353" s="190" t="n">
        <x:f>IF(G353="definiert",F353-E353,"")</x:f>
        <x:v>12</x:v>
      </x:c>
      <x:c r="L353" s="182" t="n">
        <x:v>74</x:v>
      </x:c>
      <x:c r="M353" s="182" t="str">
        <x:f>IF('Stationen Abfrage dataprocessor'!$K$74="","",'Stationen Abfrage dataprocessor'!$K$74)</x:f>
      </x:c>
      <x:c r="N353" s="182" t="str">
        <x:f>Definitionen!$B$2</x:f>
        <x:v>IP-COHORT-2026-10-28-01</x:v>
      </x:c>
    </x:row>
    <x:row r="354" ht="30" customHeight="1">
      <x:c r="A354" s="182" t="str">
        <x:f>'Stationen Abfrage dataprocessor'!$A$74</x:f>
        <x:v>UK Mainz (UKM)</x:v>
      </x:c>
      <x:c r="B354" s="182" t="str">
        <x:f>'Stationen Abfrage dataprocessor'!$D$74</x:f>
        <x:v>GY03</x:v>
      </x:c>
      <x:c r="C354" s="182" t="str">
        <x:v>TRS</x:v>
      </x:c>
      <x:c r="D354" s="182" t="str">
        <x:f>'Stationen Abfrage dataprocessor'!$Q$74</x:f>
        <x:v>ja</x:v>
      </x:c>
      <x:c r="E354" s="189" t="n">
        <x:f>IF(G354="definiert",'Stationen Abfrage dataprocessor'!$E$74,"")</x:f>
        <x:v>45839</x:v>
      </x:c>
      <x:c r="F354" s="189" t="n">
        <x:f>IF(G354="definiert",'Stationen Abfrage dataprocessor'!$H$74+1,"")</x:f>
        <x:v>46099</x:v>
      </x:c>
      <x:c r="G354" s="182" t="str">
        <x:f>IF(D354="nein","nicht_anwendbar",IF(D354&lt;&gt;"ja","Konfiguration fehlt",IF(OR(NOT(ISNUMBER('Stationen Abfrage dataprocessor'!$E$74)),NOT(ISNUMBER('Stationen Abfrage dataprocessor'!$H$74))),"Konfiguration fehlt",IF(('Stationen Abfrage dataprocessor'!$H$74+1)&lt;=('Stationen Abfrage dataprocessor'!$E$74),"kein_beobachtetes_fenster","definiert"))))</x:f>
        <x:v>definiert</x:v>
      </x:c>
      <x:c r="H354" s="182" t="str">
        <x:v>ja</x:v>
      </x:c>
      <x:c r="I354" s="182" t="str">
        <x:v>nein</x:v>
      </x:c>
      <x:c r="J354" s="182" t="str">
        <x:f>"nicht Voraussetzung"</x:f>
        <x:v>nicht Voraussetzung</x:v>
      </x:c>
      <x:c r="K354" s="190" t="n">
        <x:f>IF(G354="definiert",F354-E354,"")</x:f>
        <x:v>260</x:v>
      </x:c>
      <x:c r="L354" s="182" t="n">
        <x:v>74</x:v>
      </x:c>
      <x:c r="M354" s="182" t="str">
        <x:f>IF('Stationen Abfrage dataprocessor'!$K$74="","",'Stationen Abfrage dataprocessor'!$K$74)</x:f>
      </x:c>
      <x:c r="N354" s="182" t="str">
        <x:f>Definitionen!$B$2</x:f>
        <x:v>IP-COHORT-2026-10-28-01</x:v>
      </x:c>
    </x:row>
    <x:row r="355" ht="30" customHeight="1">
      <x:c r="A355" s="182" t="str">
        <x:f>'Stationen Abfrage dataprocessor'!$A$75</x:f>
        <x:v>UK München (LMU)</x:v>
      </x:c>
      <x:c r="B355" s="182" t="str">
        <x:f>'Stationen Abfrage dataprocessor'!$D$75</x:f>
        <x:v>CHI1 NeuroCHI</x:v>
      </x:c>
      <x:c r="C355" s="182" t="str">
        <x:v>BS</x:v>
      </x:c>
      <x:c r="D355" s="182" t="str">
        <x:f>'Stationen Abfrage dataprocessor'!$M$75</x:f>
        <x:v>ja</x:v>
      </x:c>
      <x:c r="E355" s="189" t="n">
        <x:f>IF(G355="definiert",'Stationen Abfrage dataprocessor'!$E$75,"")</x:f>
        <x:v>45796</x:v>
      </x:c>
      <x:c r="F355" s="189" t="n">
        <x:f>IF(G355="definiert",IF('Stationen Abfrage dataprocessor'!$T$75="Studienende",'Stationen Abfrage dataprocessor'!$H$75+1,MIN('Stationen Abfrage dataprocessor'!$F$75,'Stationen Abfrage dataprocessor'!$H$75+1)),"")</x:f>
        <x:v>46031</x:v>
      </x:c>
      <x:c r="G355" s="182" t="str">
        <x:f>IF(D355="nein","nicht_anwendbar",IF(D355&lt;&gt;"ja","Konfiguration fehlt",IF(OR(NOT(ISNUMBER('Stationen Abfrage dataprocessor'!$E$75)),NOT(ISNUMBER('Stationen Abfrage dataprocessor'!$H$75)),AND('Stationen Abfrage dataprocessor'!$T$75&lt;&gt;"Phasengrenze",'Stationen Abfrage dataprocessor'!$T$75&lt;&gt;"Studienende"),AND('Stationen Abfrage dataprocessor'!$T$75="Phasengrenze",NOT(ISNUMBER('Stationen Abfrage dataprocessor'!$F$75)))),"Konfiguration fehlt",IF((IF('Stationen Abfrage dataprocessor'!$T$75="Studienende",'Stationen Abfrage dataprocessor'!$H$75+1,MIN('Stationen Abfrage dataprocessor'!$F$75,'Stationen Abfrage dataprocessor'!$H$75+1)))&lt;=('Stationen Abfrage dataprocessor'!$E$75),"kein_beobachtetes_fenster","definiert"))))</x:f>
        <x:v>definiert</x:v>
      </x:c>
      <x:c r="H355" s="182" t="str">
        <x:v>nein</x:v>
      </x:c>
      <x:c r="I355" s="182" t="str">
        <x:v>nein</x:v>
      </x:c>
      <x:c r="J355" s="182" t="str">
        <x:f>"nicht Voraussetzung"</x:f>
        <x:v>nicht Voraussetzung</x:v>
      </x:c>
      <x:c r="K355" s="190" t="n">
        <x:f>IF(G355="definiert",F355-E355,"")</x:f>
        <x:v>235</x:v>
      </x:c>
      <x:c r="L355" s="182" t="n">
        <x:v>75</x:v>
      </x:c>
      <x:c r="M355" s="182" t="str">
        <x:f>IF('Stationen Abfrage dataprocessor'!$K$75="","",'Stationen Abfrage dataprocessor'!$K$75)</x:f>
      </x:c>
      <x:c r="N355" s="182" t="str">
        <x:f>Definitionen!$B$2</x:f>
        <x:v>IP-COHORT-2026-10-28-01</x:v>
      </x:c>
    </x:row>
    <x:row r="356" ht="30" customHeight="1">
      <x:c r="A356" s="182" t="str">
        <x:f>'Stationen Abfrage dataprocessor'!$A$75</x:f>
        <x:v>UK München (LMU)</x:v>
      </x:c>
      <x:c r="B356" s="182" t="str">
        <x:f>'Stationen Abfrage dataprocessor'!$D$75</x:f>
        <x:v>CHI1 NeuroCHI</x:v>
      </x:c>
      <x:c r="C356" s="182" t="str">
        <x:v>CRS-A</x:v>
      </x:c>
      <x:c r="D356" s="182" t="str">
        <x:f>'Stationen Abfrage dataprocessor'!$N$75</x:f>
        <x:v>ja</x:v>
      </x:c>
      <x:c r="E356" s="189" t="n">
        <x:f>IF(G356="definiert",MAX('Stationen Abfrage dataprocessor'!$E$75,'Stationen Abfrage dataprocessor'!$F$75),"")</x:f>
        <x:v>46031</x:v>
      </x:c>
      <x:c r="F356" s="189" t="n">
        <x:f>IF(G356="definiert",MIN('Stationen Abfrage dataprocessor'!$G$75,'Stationen Abfrage dataprocessor'!$H$75+1),"")</x:f>
        <x:v>46059</x:v>
      </x:c>
      <x:c r="G356" s="182" t="str">
        <x:f>IF(D356="nein","nicht_anwendbar",IF(D356&lt;&gt;"ja","Konfiguration fehlt",IF(OR(NOT(ISNUMBER('Stationen Abfrage dataprocessor'!$E$75)),NOT(ISNUMBER('Stationen Abfrage dataprocessor'!$F$75)),NOT(ISNUMBER('Stationen Abfrage dataprocessor'!$G$75)),NOT(ISNUMBER('Stationen Abfrage dataprocessor'!$H$75))),"Konfiguration fehlt",IF((MIN('Stationen Abfrage dataprocessor'!$G$75,'Stationen Abfrage dataprocessor'!$H$75+1))&lt;=(MAX('Stationen Abfrage dataprocessor'!$E$75,'Stationen Abfrage dataprocessor'!$F$75)),"kein_beobachtetes_fenster","definiert"))))</x:f>
        <x:v>definiert</x:v>
      </x:c>
      <x:c r="H356" s="182" t="str">
        <x:v>nein</x:v>
      </x:c>
      <x:c r="I356" s="182" t="str">
        <x:v>nein</x:v>
      </x:c>
      <x:c r="J356" s="182" t="str">
        <x:f>"nicht Voraussetzung"</x:f>
        <x:v>nicht Voraussetzung</x:v>
      </x:c>
      <x:c r="K356" s="190" t="n">
        <x:f>IF(G356="definiert",F356-E356,"")</x:f>
        <x:v>28</x:v>
      </x:c>
      <x:c r="L356" s="182" t="n">
        <x:v>75</x:v>
      </x:c>
      <x:c r="M356" s="182" t="str">
        <x:f>IF('Stationen Abfrage dataprocessor'!$K$75="","",'Stationen Abfrage dataprocessor'!$K$75)</x:f>
      </x:c>
      <x:c r="N356" s="182" t="str">
        <x:f>Definitionen!$B$2</x:f>
        <x:v>IP-COHORT-2026-10-28-01</x:v>
      </x:c>
    </x:row>
    <x:row r="357" ht="30" customHeight="1">
      <x:c r="A357" s="182" t="str">
        <x:f>'Stationen Abfrage dataprocessor'!$A$75</x:f>
        <x:v>UK München (LMU)</x:v>
      </x:c>
      <x:c r="B357" s="182" t="str">
        <x:f>'Stationen Abfrage dataprocessor'!$D$75</x:f>
        <x:v>CHI1 NeuroCHI</x:v>
      </x:c>
      <x:c r="C357" s="182" t="str">
        <x:v>CRS-B</x:v>
      </x:c>
      <x:c r="D357" s="182" t="str">
        <x:f>'Stationen Abfrage dataprocessor'!$O$75</x:f>
        <x:v>ja</x:v>
      </x:c>
      <x:c r="E357" s="189" t="n">
        <x:f>IF(G357="definiert",MAX('Stationen Abfrage dataprocessor'!$E$75,'Stationen Abfrage dataprocessor'!$G$75),"")</x:f>
        <x:v>46059</x:v>
      </x:c>
      <x:c r="F357" s="189" t="n">
        <x:f>IF(G357="definiert",'Stationen Abfrage dataprocessor'!$H$75+1,"")</x:f>
        <x:v>46235</x:v>
      </x:c>
      <x:c r="G357" s="182" t="str">
        <x:f>IF(D357="nein","nicht_anwendbar",IF(D357&lt;&gt;"ja","Konfiguration fehlt",IF(OR(NOT(ISNUMBER('Stationen Abfrage dataprocessor'!$E$75)),NOT(ISNUMBER('Stationen Abfrage dataprocessor'!$G$75)),NOT(ISNUMBER('Stationen Abfrage dataprocessor'!$H$75))),"Konfiguration fehlt",IF(('Stationen Abfrage dataprocessor'!$H$75+1)&lt;=(MAX('Stationen Abfrage dataprocessor'!$E$75,'Stationen Abfrage dataprocessor'!$G$75)),"kein_beobachtetes_fenster","definiert"))))</x:f>
        <x:v>definiert</x:v>
      </x:c>
      <x:c r="H357" s="182" t="str">
        <x:v>nein</x:v>
      </x:c>
      <x:c r="I357" s="182" t="str">
        <x:v>nein</x:v>
      </x:c>
      <x:c r="J357" s="182" t="str">
        <x:f>'Stationen Abfrage dataprocessor'!$S$75</x:f>
        <x:v>fallbezogen prüfen</x:v>
      </x:c>
      <x:c r="K357" s="190" t="n">
        <x:f>IF(G357="definiert",F357-E357,"")</x:f>
        <x:v>176</x:v>
      </x:c>
      <x:c r="L357" s="182" t="n">
        <x:v>75</x:v>
      </x:c>
      <x:c r="M357" s="182" t="str">
        <x:f>IF('Stationen Abfrage dataprocessor'!$K$75="","",'Stationen Abfrage dataprocessor'!$K$75)</x:f>
      </x:c>
      <x:c r="N357" s="182" t="str">
        <x:f>Definitionen!$B$2</x:f>
        <x:v>IP-COHORT-2026-10-28-01</x:v>
      </x:c>
    </x:row>
    <x:row r="358" ht="30" customHeight="1">
      <x:c r="A358" s="182" t="str">
        <x:f>'Stationen Abfrage dataprocessor'!$A$75</x:f>
        <x:v>UK München (LMU)</x:v>
      </x:c>
      <x:c r="B358" s="182" t="str">
        <x:f>'Stationen Abfrage dataprocessor'!$D$75</x:f>
        <x:v>CHI1 NeuroCHI</x:v>
      </x:c>
      <x:c r="C358" s="182" t="str">
        <x:v>RES</x:v>
      </x:c>
      <x:c r="D358" s="182" t="str">
        <x:f>'Stationen Abfrage dataprocessor'!$P$75</x:f>
        <x:v>ja</x:v>
      </x:c>
      <x:c r="E358" s="189" t="n">
        <x:f>IF(G358="definiert",MAX('Stationen Abfrage dataprocessor'!$E$75,'Stationen Abfrage dataprocessor'!$G$75),"")</x:f>
        <x:v>46059</x:v>
      </x:c>
      <x:c r="F358" s="189" t="n">
        <x:f>IF(G358="definiert",'Stationen Abfrage dataprocessor'!$H$75+1,"")</x:f>
        <x:v>46235</x:v>
      </x:c>
      <x:c r="G358" s="182" t="str">
        <x:f>IF(D358="nein","nicht_anwendbar",IF(D358&lt;&gt;"ja","Konfiguration fehlt",IF(OR(NOT(ISNUMBER('Stationen Abfrage dataprocessor'!$E$75)),NOT(ISNUMBER('Stationen Abfrage dataprocessor'!$G$75)),NOT(ISNUMBER('Stationen Abfrage dataprocessor'!$H$75))),"Konfiguration fehlt",IF(('Stationen Abfrage dataprocessor'!$H$75+1)&lt;=(MAX('Stationen Abfrage dataprocessor'!$E$75,'Stationen Abfrage dataprocessor'!$G$75)),"kein_beobachtetes_fenster","definiert"))))</x:f>
        <x:v>definiert</x:v>
      </x:c>
      <x:c r="H358" s="182" t="str">
        <x:v>ja</x:v>
      </x:c>
      <x:c r="I358" s="182" t="str">
        <x:v>ja</x:v>
      </x:c>
      <x:c r="J358" s="182" t="str">
        <x:f>'Stationen Abfrage dataprocessor'!$S$75</x:f>
        <x:v>fallbezogen prüfen</x:v>
      </x:c>
      <x:c r="K358" s="190" t="n">
        <x:f>IF(G358="definiert",F358-E358,"")</x:f>
        <x:v>176</x:v>
      </x:c>
      <x:c r="L358" s="182" t="n">
        <x:v>75</x:v>
      </x:c>
      <x:c r="M358" s="182" t="str">
        <x:f>IF('Stationen Abfrage dataprocessor'!$K$75="","",'Stationen Abfrage dataprocessor'!$K$75)</x:f>
      </x:c>
      <x:c r="N358" s="182" t="str">
        <x:f>Definitionen!$B$2</x:f>
        <x:v>IP-COHORT-2026-10-28-01</x:v>
      </x:c>
    </x:row>
    <x:row r="359" ht="30" customHeight="1">
      <x:c r="A359" s="182" t="str">
        <x:f>'Stationen Abfrage dataprocessor'!$A$75</x:f>
        <x:v>UK München (LMU)</x:v>
      </x:c>
      <x:c r="B359" s="182" t="str">
        <x:f>'Stationen Abfrage dataprocessor'!$D$75</x:f>
        <x:v>CHI1 NeuroCHI</x:v>
      </x:c>
      <x:c r="C359" s="182" t="str">
        <x:v>TRS</x:v>
      </x:c>
      <x:c r="D359" s="182" t="str">
        <x:f>'Stationen Abfrage dataprocessor'!$Q$75</x:f>
        <x:v>ja</x:v>
      </x:c>
      <x:c r="E359" s="189" t="n">
        <x:f>IF(G359="definiert",'Stationen Abfrage dataprocessor'!$E$75,"")</x:f>
        <x:v>45796</x:v>
      </x:c>
      <x:c r="F359" s="189" t="n">
        <x:f>IF(G359="definiert",'Stationen Abfrage dataprocessor'!$H$75+1,"")</x:f>
        <x:v>46235</x:v>
      </x:c>
      <x:c r="G359" s="182" t="str">
        <x:f>IF(D359="nein","nicht_anwendbar",IF(D359&lt;&gt;"ja","Konfiguration fehlt",IF(OR(NOT(ISNUMBER('Stationen Abfrage dataprocessor'!$E$75)),NOT(ISNUMBER('Stationen Abfrage dataprocessor'!$H$75))),"Konfiguration fehlt",IF(('Stationen Abfrage dataprocessor'!$H$75+1)&lt;=('Stationen Abfrage dataprocessor'!$E$75),"kein_beobachtetes_fenster","definiert"))))</x:f>
        <x:v>definiert</x:v>
      </x:c>
      <x:c r="H359" s="182" t="str">
        <x:v>ja</x:v>
      </x:c>
      <x:c r="I359" s="182" t="str">
        <x:v>nein</x:v>
      </x:c>
      <x:c r="J359" s="182" t="str">
        <x:f>"nicht Voraussetzung"</x:f>
        <x:v>nicht Voraussetzung</x:v>
      </x:c>
      <x:c r="K359" s="190" t="n">
        <x:f>IF(G359="definiert",F359-E359,"")</x:f>
        <x:v>439</x:v>
      </x:c>
      <x:c r="L359" s="182" t="n">
        <x:v>75</x:v>
      </x:c>
      <x:c r="M359" s="182" t="str">
        <x:f>IF('Stationen Abfrage dataprocessor'!$K$75="","",'Stationen Abfrage dataprocessor'!$K$75)</x:f>
      </x:c>
      <x:c r="N359" s="182" t="str">
        <x:f>Definitionen!$B$2</x:f>
        <x:v>IP-COHORT-2026-10-28-01</x:v>
      </x:c>
    </x:row>
    <x:row r="360" ht="30" customHeight="1">
      <x:c r="A360" s="182" t="str">
        <x:f>'Stationen Abfrage dataprocessor'!$A$76</x:f>
        <x:v>UK München (LMU)</x:v>
      </x:c>
      <x:c r="B360" s="182" t="str">
        <x:f>'Stationen Abfrage dataprocessor'!$D$76</x:f>
        <x:v>CHI2 UnfallOrtho</x:v>
      </x:c>
      <x:c r="C360" s="182" t="str">
        <x:v>BS</x:v>
      </x:c>
      <x:c r="D360" s="182" t="str">
        <x:f>'Stationen Abfrage dataprocessor'!$M$76</x:f>
        <x:v>ja</x:v>
      </x:c>
      <x:c r="E360" s="189" t="n">
        <x:f>IF(G360="definiert",'Stationen Abfrage dataprocessor'!$E$76,"")</x:f>
        <x:v>45798</x:v>
      </x:c>
      <x:c r="F360" s="189" t="n">
        <x:f>IF(G360="definiert",IF('Stationen Abfrage dataprocessor'!$T$76="Studienende",'Stationen Abfrage dataprocessor'!$H$76+1,MIN('Stationen Abfrage dataprocessor'!$F$76,'Stationen Abfrage dataprocessor'!$H$76+1)),"")</x:f>
        <x:v>46031</x:v>
      </x:c>
      <x:c r="G360" s="182" t="str">
        <x:f>IF(D360="nein","nicht_anwendbar",IF(D360&lt;&gt;"ja","Konfiguration fehlt",IF(OR(NOT(ISNUMBER('Stationen Abfrage dataprocessor'!$E$76)),NOT(ISNUMBER('Stationen Abfrage dataprocessor'!$H$76)),AND('Stationen Abfrage dataprocessor'!$T$76&lt;&gt;"Phasengrenze",'Stationen Abfrage dataprocessor'!$T$76&lt;&gt;"Studienende"),AND('Stationen Abfrage dataprocessor'!$T$76="Phasengrenze",NOT(ISNUMBER('Stationen Abfrage dataprocessor'!$F$76)))),"Konfiguration fehlt",IF((IF('Stationen Abfrage dataprocessor'!$T$76="Studienende",'Stationen Abfrage dataprocessor'!$H$76+1,MIN('Stationen Abfrage dataprocessor'!$F$76,'Stationen Abfrage dataprocessor'!$H$76+1)))&lt;=('Stationen Abfrage dataprocessor'!$E$76),"kein_beobachtetes_fenster","definiert"))))</x:f>
        <x:v>definiert</x:v>
      </x:c>
      <x:c r="H360" s="182" t="str">
        <x:v>nein</x:v>
      </x:c>
      <x:c r="I360" s="182" t="str">
        <x:v>nein</x:v>
      </x:c>
      <x:c r="J360" s="182" t="str">
        <x:f>"nicht Voraussetzung"</x:f>
        <x:v>nicht Voraussetzung</x:v>
      </x:c>
      <x:c r="K360" s="190" t="n">
        <x:f>IF(G360="definiert",F360-E360,"")</x:f>
        <x:v>233</x:v>
      </x:c>
      <x:c r="L360" s="182" t="n">
        <x:v>76</x:v>
      </x:c>
      <x:c r="M360" s="182" t="str">
        <x:f>IF('Stationen Abfrage dataprocessor'!$K$76="","",'Stationen Abfrage dataprocessor'!$K$76)</x:f>
      </x:c>
      <x:c r="N360" s="182" t="str">
        <x:f>Definitionen!$B$2</x:f>
        <x:v>IP-COHORT-2026-10-28-01</x:v>
      </x:c>
    </x:row>
    <x:row r="361" ht="30" customHeight="1">
      <x:c r="A361" s="182" t="str">
        <x:f>'Stationen Abfrage dataprocessor'!$A$76</x:f>
        <x:v>UK München (LMU)</x:v>
      </x:c>
      <x:c r="B361" s="182" t="str">
        <x:f>'Stationen Abfrage dataprocessor'!$D$76</x:f>
        <x:v>CHI2 UnfallOrtho</x:v>
      </x:c>
      <x:c r="C361" s="182" t="str">
        <x:v>CRS-A</x:v>
      </x:c>
      <x:c r="D361" s="182" t="str">
        <x:f>'Stationen Abfrage dataprocessor'!$N$76</x:f>
        <x:v>ja</x:v>
      </x:c>
      <x:c r="E361" s="189" t="n">
        <x:f>IF(G361="definiert",MAX('Stationen Abfrage dataprocessor'!$E$76,'Stationen Abfrage dataprocessor'!$F$76),"")</x:f>
        <x:v>46031</x:v>
      </x:c>
      <x:c r="F361" s="189" t="n">
        <x:f>IF(G361="definiert",MIN('Stationen Abfrage dataprocessor'!$G$76,'Stationen Abfrage dataprocessor'!$H$76+1),"")</x:f>
        <x:v>46059</x:v>
      </x:c>
      <x:c r="G361" s="182" t="str">
        <x:f>IF(D361="nein","nicht_anwendbar",IF(D361&lt;&gt;"ja","Konfiguration fehlt",IF(OR(NOT(ISNUMBER('Stationen Abfrage dataprocessor'!$E$76)),NOT(ISNUMBER('Stationen Abfrage dataprocessor'!$F$76)),NOT(ISNUMBER('Stationen Abfrage dataprocessor'!$G$76)),NOT(ISNUMBER('Stationen Abfrage dataprocessor'!$H$76))),"Konfiguration fehlt",IF((MIN('Stationen Abfrage dataprocessor'!$G$76,'Stationen Abfrage dataprocessor'!$H$76+1))&lt;=(MAX('Stationen Abfrage dataprocessor'!$E$76,'Stationen Abfrage dataprocessor'!$F$76)),"kein_beobachtetes_fenster","definiert"))))</x:f>
        <x:v>definiert</x:v>
      </x:c>
      <x:c r="H361" s="182" t="str">
        <x:v>nein</x:v>
      </x:c>
      <x:c r="I361" s="182" t="str">
        <x:v>nein</x:v>
      </x:c>
      <x:c r="J361" s="182" t="str">
        <x:f>"nicht Voraussetzung"</x:f>
        <x:v>nicht Voraussetzung</x:v>
      </x:c>
      <x:c r="K361" s="190" t="n">
        <x:f>IF(G361="definiert",F361-E361,"")</x:f>
        <x:v>28</x:v>
      </x:c>
      <x:c r="L361" s="182" t="n">
        <x:v>76</x:v>
      </x:c>
      <x:c r="M361" s="182" t="str">
        <x:f>IF('Stationen Abfrage dataprocessor'!$K$76="","",'Stationen Abfrage dataprocessor'!$K$76)</x:f>
      </x:c>
      <x:c r="N361" s="182" t="str">
        <x:f>Definitionen!$B$2</x:f>
        <x:v>IP-COHORT-2026-10-28-01</x:v>
      </x:c>
    </x:row>
    <x:row r="362" ht="30" customHeight="1">
      <x:c r="A362" s="182" t="str">
        <x:f>'Stationen Abfrage dataprocessor'!$A$76</x:f>
        <x:v>UK München (LMU)</x:v>
      </x:c>
      <x:c r="B362" s="182" t="str">
        <x:f>'Stationen Abfrage dataprocessor'!$D$76</x:f>
        <x:v>CHI2 UnfallOrtho</x:v>
      </x:c>
      <x:c r="C362" s="182" t="str">
        <x:v>CRS-B</x:v>
      </x:c>
      <x:c r="D362" s="182" t="str">
        <x:f>'Stationen Abfrage dataprocessor'!$O$76</x:f>
        <x:v>ja</x:v>
      </x:c>
      <x:c r="E362" s="189" t="n">
        <x:f>IF(G362="definiert",MAX('Stationen Abfrage dataprocessor'!$E$76,'Stationen Abfrage dataprocessor'!$G$76),"")</x:f>
        <x:v>46059</x:v>
      </x:c>
      <x:c r="F362" s="189" t="n">
        <x:f>IF(G362="definiert",'Stationen Abfrage dataprocessor'!$H$76+1,"")</x:f>
        <x:v>46235</x:v>
      </x:c>
      <x:c r="G362" s="182" t="str">
        <x:f>IF(D362="nein","nicht_anwendbar",IF(D362&lt;&gt;"ja","Konfiguration fehlt",IF(OR(NOT(ISNUMBER('Stationen Abfrage dataprocessor'!$E$76)),NOT(ISNUMBER('Stationen Abfrage dataprocessor'!$G$76)),NOT(ISNUMBER('Stationen Abfrage dataprocessor'!$H$76))),"Konfiguration fehlt",IF(('Stationen Abfrage dataprocessor'!$H$76+1)&lt;=(MAX('Stationen Abfrage dataprocessor'!$E$76,'Stationen Abfrage dataprocessor'!$G$76)),"kein_beobachtetes_fenster","definiert"))))</x:f>
        <x:v>definiert</x:v>
      </x:c>
      <x:c r="H362" s="182" t="str">
        <x:v>nein</x:v>
      </x:c>
      <x:c r="I362" s="182" t="str">
        <x:v>nein</x:v>
      </x:c>
      <x:c r="J362" s="182" t="str">
        <x:f>'Stationen Abfrage dataprocessor'!$S$76</x:f>
        <x:v>fallbezogen prüfen</x:v>
      </x:c>
      <x:c r="K362" s="190" t="n">
        <x:f>IF(G362="definiert",F362-E362,"")</x:f>
        <x:v>176</x:v>
      </x:c>
      <x:c r="L362" s="182" t="n">
        <x:v>76</x:v>
      </x:c>
      <x:c r="M362" s="182" t="str">
        <x:f>IF('Stationen Abfrage dataprocessor'!$K$76="","",'Stationen Abfrage dataprocessor'!$K$76)</x:f>
      </x:c>
      <x:c r="N362" s="182" t="str">
        <x:f>Definitionen!$B$2</x:f>
        <x:v>IP-COHORT-2026-10-28-01</x:v>
      </x:c>
    </x:row>
    <x:row r="363" ht="30" customHeight="1">
      <x:c r="A363" s="182" t="str">
        <x:f>'Stationen Abfrage dataprocessor'!$A$76</x:f>
        <x:v>UK München (LMU)</x:v>
      </x:c>
      <x:c r="B363" s="182" t="str">
        <x:f>'Stationen Abfrage dataprocessor'!$D$76</x:f>
        <x:v>CHI2 UnfallOrtho</x:v>
      </x:c>
      <x:c r="C363" s="182" t="str">
        <x:v>RES</x:v>
      </x:c>
      <x:c r="D363" s="182" t="str">
        <x:f>'Stationen Abfrage dataprocessor'!$P$76</x:f>
        <x:v>ja</x:v>
      </x:c>
      <x:c r="E363" s="189" t="n">
        <x:f>IF(G363="definiert",MAX('Stationen Abfrage dataprocessor'!$E$76,'Stationen Abfrage dataprocessor'!$G$76),"")</x:f>
        <x:v>46059</x:v>
      </x:c>
      <x:c r="F363" s="189" t="n">
        <x:f>IF(G363="definiert",'Stationen Abfrage dataprocessor'!$H$76+1,"")</x:f>
        <x:v>46235</x:v>
      </x:c>
      <x:c r="G363" s="182" t="str">
        <x:f>IF(D363="nein","nicht_anwendbar",IF(D363&lt;&gt;"ja","Konfiguration fehlt",IF(OR(NOT(ISNUMBER('Stationen Abfrage dataprocessor'!$E$76)),NOT(ISNUMBER('Stationen Abfrage dataprocessor'!$G$76)),NOT(ISNUMBER('Stationen Abfrage dataprocessor'!$H$76))),"Konfiguration fehlt",IF(('Stationen Abfrage dataprocessor'!$H$76+1)&lt;=(MAX('Stationen Abfrage dataprocessor'!$E$76,'Stationen Abfrage dataprocessor'!$G$76)),"kein_beobachtetes_fenster","definiert"))))</x:f>
        <x:v>definiert</x:v>
      </x:c>
      <x:c r="H363" s="182" t="str">
        <x:v>ja</x:v>
      </x:c>
      <x:c r="I363" s="182" t="str">
        <x:v>ja</x:v>
      </x:c>
      <x:c r="J363" s="182" t="str">
        <x:f>'Stationen Abfrage dataprocessor'!$S$76</x:f>
        <x:v>fallbezogen prüfen</x:v>
      </x:c>
      <x:c r="K363" s="190" t="n">
        <x:f>IF(G363="definiert",F363-E363,"")</x:f>
        <x:v>176</x:v>
      </x:c>
      <x:c r="L363" s="182" t="n">
        <x:v>76</x:v>
      </x:c>
      <x:c r="M363" s="182" t="str">
        <x:f>IF('Stationen Abfrage dataprocessor'!$K$76="","",'Stationen Abfrage dataprocessor'!$K$76)</x:f>
      </x:c>
      <x:c r="N363" s="182" t="str">
        <x:f>Definitionen!$B$2</x:f>
        <x:v>IP-COHORT-2026-10-28-01</x:v>
      </x:c>
    </x:row>
    <x:row r="364" ht="30" customHeight="1">
      <x:c r="A364" s="182" t="str">
        <x:f>'Stationen Abfrage dataprocessor'!$A$76</x:f>
        <x:v>UK München (LMU)</x:v>
      </x:c>
      <x:c r="B364" s="182" t="str">
        <x:f>'Stationen Abfrage dataprocessor'!$D$76</x:f>
        <x:v>CHI2 UnfallOrtho</x:v>
      </x:c>
      <x:c r="C364" s="182" t="str">
        <x:v>TRS</x:v>
      </x:c>
      <x:c r="D364" s="182" t="str">
        <x:f>'Stationen Abfrage dataprocessor'!$Q$76</x:f>
        <x:v>ja</x:v>
      </x:c>
      <x:c r="E364" s="189" t="n">
        <x:f>IF(G364="definiert",'Stationen Abfrage dataprocessor'!$E$76,"")</x:f>
        <x:v>45798</x:v>
      </x:c>
      <x:c r="F364" s="189" t="n">
        <x:f>IF(G364="definiert",'Stationen Abfrage dataprocessor'!$H$76+1,"")</x:f>
        <x:v>46235</x:v>
      </x:c>
      <x:c r="G364" s="182" t="str">
        <x:f>IF(D364="nein","nicht_anwendbar",IF(D364&lt;&gt;"ja","Konfiguration fehlt",IF(OR(NOT(ISNUMBER('Stationen Abfrage dataprocessor'!$E$76)),NOT(ISNUMBER('Stationen Abfrage dataprocessor'!$H$76))),"Konfiguration fehlt",IF(('Stationen Abfrage dataprocessor'!$H$76+1)&lt;=('Stationen Abfrage dataprocessor'!$E$76),"kein_beobachtetes_fenster","definiert"))))</x:f>
        <x:v>definiert</x:v>
      </x:c>
      <x:c r="H364" s="182" t="str">
        <x:v>ja</x:v>
      </x:c>
      <x:c r="I364" s="182" t="str">
        <x:v>nein</x:v>
      </x:c>
      <x:c r="J364" s="182" t="str">
        <x:f>"nicht Voraussetzung"</x:f>
        <x:v>nicht Voraussetzung</x:v>
      </x:c>
      <x:c r="K364" s="190" t="n">
        <x:f>IF(G364="definiert",F364-E364,"")</x:f>
        <x:v>437</x:v>
      </x:c>
      <x:c r="L364" s="182" t="n">
        <x:v>76</x:v>
      </x:c>
      <x:c r="M364" s="182" t="str">
        <x:f>IF('Stationen Abfrage dataprocessor'!$K$76="","",'Stationen Abfrage dataprocessor'!$K$76)</x:f>
      </x:c>
      <x:c r="N364" s="182" t="str">
        <x:f>Definitionen!$B$2</x:f>
        <x:v>IP-COHORT-2026-10-28-01</x:v>
      </x:c>
    </x:row>
    <x:row r="365" ht="30" customHeight="1">
      <x:c r="A365" s="182" t="str">
        <x:f>'Stationen Abfrage dataprocessor'!$A$77</x:f>
        <x:v>UK München (LMU)</x:v>
      </x:c>
      <x:c r="B365" s="182" t="str">
        <x:f>'Stationen Abfrage dataprocessor'!$D$77</x:f>
        <x:v>INN3Hämatoonko</x:v>
      </x:c>
      <x:c r="C365" s="182" t="str">
        <x:v>BS</x:v>
      </x:c>
      <x:c r="D365" s="182" t="str">
        <x:f>'Stationen Abfrage dataprocessor'!$M$77</x:f>
        <x:v>ja</x:v>
      </x:c>
      <x:c r="E365" s="189" t="n">
        <x:f>IF(G365="definiert",'Stationen Abfrage dataprocessor'!$E$77,"")</x:f>
        <x:v>45797</x:v>
      </x:c>
      <x:c r="F365" s="189" t="n">
        <x:f>IF(G365="definiert",IF('Stationen Abfrage dataprocessor'!$T$77="Studienende",'Stationen Abfrage dataprocessor'!$H$77+1,MIN('Stationen Abfrage dataprocessor'!$F$77,'Stationen Abfrage dataprocessor'!$H$77+1)),"")</x:f>
        <x:v>46031</x:v>
      </x:c>
      <x:c r="G365" s="182" t="str">
        <x:f>IF(D365="nein","nicht_anwendbar",IF(D365&lt;&gt;"ja","Konfiguration fehlt",IF(OR(NOT(ISNUMBER('Stationen Abfrage dataprocessor'!$E$77)),NOT(ISNUMBER('Stationen Abfrage dataprocessor'!$H$77)),AND('Stationen Abfrage dataprocessor'!$T$77&lt;&gt;"Phasengrenze",'Stationen Abfrage dataprocessor'!$T$77&lt;&gt;"Studienende"),AND('Stationen Abfrage dataprocessor'!$T$77="Phasengrenze",NOT(ISNUMBER('Stationen Abfrage dataprocessor'!$F$77)))),"Konfiguration fehlt",IF((IF('Stationen Abfrage dataprocessor'!$T$77="Studienende",'Stationen Abfrage dataprocessor'!$H$77+1,MIN('Stationen Abfrage dataprocessor'!$F$77,'Stationen Abfrage dataprocessor'!$H$77+1)))&lt;=('Stationen Abfrage dataprocessor'!$E$77),"kein_beobachtetes_fenster","definiert"))))</x:f>
        <x:v>definiert</x:v>
      </x:c>
      <x:c r="H365" s="182" t="str">
        <x:v>nein</x:v>
      </x:c>
      <x:c r="I365" s="182" t="str">
        <x:v>nein</x:v>
      </x:c>
      <x:c r="J365" s="182" t="str">
        <x:f>"nicht Voraussetzung"</x:f>
        <x:v>nicht Voraussetzung</x:v>
      </x:c>
      <x:c r="K365" s="190" t="n">
        <x:f>IF(G365="definiert",F365-E365,"")</x:f>
        <x:v>234</x:v>
      </x:c>
      <x:c r="L365" s="182" t="n">
        <x:v>77</x:v>
      </x:c>
      <x:c r="M365" s="182" t="str">
        <x:f>IF('Stationen Abfrage dataprocessor'!$K$77="","",'Stationen Abfrage dataprocessor'!$K$77)</x:f>
      </x:c>
      <x:c r="N365" s="182" t="str">
        <x:f>Definitionen!$B$2</x:f>
        <x:v>IP-COHORT-2026-10-28-01</x:v>
      </x:c>
    </x:row>
    <x:row r="366" ht="30" customHeight="1">
      <x:c r="A366" s="182" t="str">
        <x:f>'Stationen Abfrage dataprocessor'!$A$77</x:f>
        <x:v>UK München (LMU)</x:v>
      </x:c>
      <x:c r="B366" s="182" t="str">
        <x:f>'Stationen Abfrage dataprocessor'!$D$77</x:f>
        <x:v>INN3Hämatoonko</x:v>
      </x:c>
      <x:c r="C366" s="182" t="str">
        <x:v>CRS-A</x:v>
      </x:c>
      <x:c r="D366" s="182" t="str">
        <x:f>'Stationen Abfrage dataprocessor'!$N$77</x:f>
        <x:v>ja</x:v>
      </x:c>
      <x:c r="E366" s="189" t="n">
        <x:f>IF(G366="definiert",MAX('Stationen Abfrage dataprocessor'!$E$77,'Stationen Abfrage dataprocessor'!$F$77),"")</x:f>
        <x:v>46031</x:v>
      </x:c>
      <x:c r="F366" s="189" t="n">
        <x:f>IF(G366="definiert",MIN('Stationen Abfrage dataprocessor'!$G$77,'Stationen Abfrage dataprocessor'!$H$77+1),"")</x:f>
        <x:v>46087</x:v>
      </x:c>
      <x:c r="G366" s="182" t="str">
        <x:f>IF(D366="nein","nicht_anwendbar",IF(D366&lt;&gt;"ja","Konfiguration fehlt",IF(OR(NOT(ISNUMBER('Stationen Abfrage dataprocessor'!$E$77)),NOT(ISNUMBER('Stationen Abfrage dataprocessor'!$F$77)),NOT(ISNUMBER('Stationen Abfrage dataprocessor'!$G$77)),NOT(ISNUMBER('Stationen Abfrage dataprocessor'!$H$77))),"Konfiguration fehlt",IF((MIN('Stationen Abfrage dataprocessor'!$G$77,'Stationen Abfrage dataprocessor'!$H$77+1))&lt;=(MAX('Stationen Abfrage dataprocessor'!$E$77,'Stationen Abfrage dataprocessor'!$F$77)),"kein_beobachtetes_fenster","definiert"))))</x:f>
        <x:v>definiert</x:v>
      </x:c>
      <x:c r="H366" s="182" t="str">
        <x:v>nein</x:v>
      </x:c>
      <x:c r="I366" s="182" t="str">
        <x:v>nein</x:v>
      </x:c>
      <x:c r="J366" s="182" t="str">
        <x:f>"nicht Voraussetzung"</x:f>
        <x:v>nicht Voraussetzung</x:v>
      </x:c>
      <x:c r="K366" s="190" t="n">
        <x:f>IF(G366="definiert",F366-E366,"")</x:f>
        <x:v>56</x:v>
      </x:c>
      <x:c r="L366" s="182" t="n">
        <x:v>77</x:v>
      </x:c>
      <x:c r="M366" s="182" t="str">
        <x:f>IF('Stationen Abfrage dataprocessor'!$K$77="","",'Stationen Abfrage dataprocessor'!$K$77)</x:f>
      </x:c>
      <x:c r="N366" s="182" t="str">
        <x:f>Definitionen!$B$2</x:f>
        <x:v>IP-COHORT-2026-10-28-01</x:v>
      </x:c>
    </x:row>
    <x:row r="367" ht="30" customHeight="1">
      <x:c r="A367" s="182" t="str">
        <x:f>'Stationen Abfrage dataprocessor'!$A$77</x:f>
        <x:v>UK München (LMU)</x:v>
      </x:c>
      <x:c r="B367" s="182" t="str">
        <x:f>'Stationen Abfrage dataprocessor'!$D$77</x:f>
        <x:v>INN3Hämatoonko</x:v>
      </x:c>
      <x:c r="C367" s="182" t="str">
        <x:v>CRS-B</x:v>
      </x:c>
      <x:c r="D367" s="182" t="str">
        <x:f>'Stationen Abfrage dataprocessor'!$O$77</x:f>
        <x:v>ja</x:v>
      </x:c>
      <x:c r="E367" s="189" t="n">
        <x:f>IF(G367="definiert",MAX('Stationen Abfrage dataprocessor'!$E$77,'Stationen Abfrage dataprocessor'!$G$77),"")</x:f>
        <x:v>46087</x:v>
      </x:c>
      <x:c r="F367" s="189" t="n">
        <x:f>IF(G367="definiert",'Stationen Abfrage dataprocessor'!$H$77+1,"")</x:f>
        <x:v>46235</x:v>
      </x:c>
      <x:c r="G367" s="182" t="str">
        <x:f>IF(D367="nein","nicht_anwendbar",IF(D367&lt;&gt;"ja","Konfiguration fehlt",IF(OR(NOT(ISNUMBER('Stationen Abfrage dataprocessor'!$E$77)),NOT(ISNUMBER('Stationen Abfrage dataprocessor'!$G$77)),NOT(ISNUMBER('Stationen Abfrage dataprocessor'!$H$77))),"Konfiguration fehlt",IF(('Stationen Abfrage dataprocessor'!$H$77+1)&lt;=(MAX('Stationen Abfrage dataprocessor'!$E$77,'Stationen Abfrage dataprocessor'!$G$77)),"kein_beobachtetes_fenster","definiert"))))</x:f>
        <x:v>definiert</x:v>
      </x:c>
      <x:c r="H367" s="182" t="str">
        <x:v>nein</x:v>
      </x:c>
      <x:c r="I367" s="182" t="str">
        <x:v>nein</x:v>
      </x:c>
      <x:c r="J367" s="182" t="str">
        <x:f>'Stationen Abfrage dataprocessor'!$S$77</x:f>
        <x:v>fallbezogen prüfen</x:v>
      </x:c>
      <x:c r="K367" s="190" t="n">
        <x:f>IF(G367="definiert",F367-E367,"")</x:f>
        <x:v>148</x:v>
      </x:c>
      <x:c r="L367" s="182" t="n">
        <x:v>77</x:v>
      </x:c>
      <x:c r="M367" s="182" t="str">
        <x:f>IF('Stationen Abfrage dataprocessor'!$K$77="","",'Stationen Abfrage dataprocessor'!$K$77)</x:f>
      </x:c>
      <x:c r="N367" s="182" t="str">
        <x:f>Definitionen!$B$2</x:f>
        <x:v>IP-COHORT-2026-10-28-01</x:v>
      </x:c>
    </x:row>
    <x:row r="368" ht="30" customHeight="1">
      <x:c r="A368" s="182" t="str">
        <x:f>'Stationen Abfrage dataprocessor'!$A$77</x:f>
        <x:v>UK München (LMU)</x:v>
      </x:c>
      <x:c r="B368" s="182" t="str">
        <x:f>'Stationen Abfrage dataprocessor'!$D$77</x:f>
        <x:v>INN3Hämatoonko</x:v>
      </x:c>
      <x:c r="C368" s="182" t="str">
        <x:v>RES</x:v>
      </x:c>
      <x:c r="D368" s="182" t="str">
        <x:f>'Stationen Abfrage dataprocessor'!$P$77</x:f>
        <x:v>ja</x:v>
      </x:c>
      <x:c r="E368" s="189" t="n">
        <x:f>IF(G368="definiert",MAX('Stationen Abfrage dataprocessor'!$E$77,'Stationen Abfrage dataprocessor'!$G$77),"")</x:f>
        <x:v>46087</x:v>
      </x:c>
      <x:c r="F368" s="189" t="n">
        <x:f>IF(G368="definiert",'Stationen Abfrage dataprocessor'!$H$77+1,"")</x:f>
        <x:v>46235</x:v>
      </x:c>
      <x:c r="G368" s="182" t="str">
        <x:f>IF(D368="nein","nicht_anwendbar",IF(D368&lt;&gt;"ja","Konfiguration fehlt",IF(OR(NOT(ISNUMBER('Stationen Abfrage dataprocessor'!$E$77)),NOT(ISNUMBER('Stationen Abfrage dataprocessor'!$G$77)),NOT(ISNUMBER('Stationen Abfrage dataprocessor'!$H$77))),"Konfiguration fehlt",IF(('Stationen Abfrage dataprocessor'!$H$77+1)&lt;=(MAX('Stationen Abfrage dataprocessor'!$E$77,'Stationen Abfrage dataprocessor'!$G$77)),"kein_beobachtetes_fenster","definiert"))))</x:f>
        <x:v>definiert</x:v>
      </x:c>
      <x:c r="H368" s="182" t="str">
        <x:v>ja</x:v>
      </x:c>
      <x:c r="I368" s="182" t="str">
        <x:v>ja</x:v>
      </x:c>
      <x:c r="J368" s="182" t="str">
        <x:f>'Stationen Abfrage dataprocessor'!$S$77</x:f>
        <x:v>fallbezogen prüfen</x:v>
      </x:c>
      <x:c r="K368" s="190" t="n">
        <x:f>IF(G368="definiert",F368-E368,"")</x:f>
        <x:v>148</x:v>
      </x:c>
      <x:c r="L368" s="182" t="n">
        <x:v>77</x:v>
      </x:c>
      <x:c r="M368" s="182" t="str">
        <x:f>IF('Stationen Abfrage dataprocessor'!$K$77="","",'Stationen Abfrage dataprocessor'!$K$77)</x:f>
      </x:c>
      <x:c r="N368" s="182" t="str">
        <x:f>Definitionen!$B$2</x:f>
        <x:v>IP-COHORT-2026-10-28-01</x:v>
      </x:c>
    </x:row>
    <x:row r="369" ht="30" customHeight="1">
      <x:c r="A369" s="182" t="str">
        <x:f>'Stationen Abfrage dataprocessor'!$A$77</x:f>
        <x:v>UK München (LMU)</x:v>
      </x:c>
      <x:c r="B369" s="182" t="str">
        <x:f>'Stationen Abfrage dataprocessor'!$D$77</x:f>
        <x:v>INN3Hämatoonko</x:v>
      </x:c>
      <x:c r="C369" s="182" t="str">
        <x:v>TRS</x:v>
      </x:c>
      <x:c r="D369" s="182" t="str">
        <x:f>'Stationen Abfrage dataprocessor'!$Q$77</x:f>
        <x:v>ja</x:v>
      </x:c>
      <x:c r="E369" s="189" t="n">
        <x:f>IF(G369="definiert",'Stationen Abfrage dataprocessor'!$E$77,"")</x:f>
        <x:v>45797</x:v>
      </x:c>
      <x:c r="F369" s="189" t="n">
        <x:f>IF(G369="definiert",'Stationen Abfrage dataprocessor'!$H$77+1,"")</x:f>
        <x:v>46235</x:v>
      </x:c>
      <x:c r="G369" s="182" t="str">
        <x:f>IF(D369="nein","nicht_anwendbar",IF(D369&lt;&gt;"ja","Konfiguration fehlt",IF(OR(NOT(ISNUMBER('Stationen Abfrage dataprocessor'!$E$77)),NOT(ISNUMBER('Stationen Abfrage dataprocessor'!$H$77))),"Konfiguration fehlt",IF(('Stationen Abfrage dataprocessor'!$H$77+1)&lt;=('Stationen Abfrage dataprocessor'!$E$77),"kein_beobachtetes_fenster","definiert"))))</x:f>
        <x:v>definiert</x:v>
      </x:c>
      <x:c r="H369" s="182" t="str">
        <x:v>ja</x:v>
      </x:c>
      <x:c r="I369" s="182" t="str">
        <x:v>nein</x:v>
      </x:c>
      <x:c r="J369" s="182" t="str">
        <x:f>"nicht Voraussetzung"</x:f>
        <x:v>nicht Voraussetzung</x:v>
      </x:c>
      <x:c r="K369" s="190" t="n">
        <x:f>IF(G369="definiert",F369-E369,"")</x:f>
        <x:v>438</x:v>
      </x:c>
      <x:c r="L369" s="182" t="n">
        <x:v>77</x:v>
      </x:c>
      <x:c r="M369" s="182" t="str">
        <x:f>IF('Stationen Abfrage dataprocessor'!$K$77="","",'Stationen Abfrage dataprocessor'!$K$77)</x:f>
      </x:c>
      <x:c r="N369" s="182" t="str">
        <x:f>Definitionen!$B$2</x:f>
        <x:v>IP-COHORT-2026-10-28-01</x:v>
      </x:c>
    </x:row>
    <x:row r="370" ht="30" customHeight="1">
      <x:c r="A370" s="182" t="str">
        <x:f>'Stationen Abfrage dataprocessor'!$A$78</x:f>
        <x:v>UK München (LMU)</x:v>
      </x:c>
      <x:c r="B370" s="182" t="str">
        <x:f>'Stationen Abfrage dataprocessor'!$D$78</x:f>
        <x:v>CHI3 Ortho</x:v>
      </x:c>
      <x:c r="C370" s="182" t="str">
        <x:v>BS</x:v>
      </x:c>
      <x:c r="D370" s="182" t="str">
        <x:f>'Stationen Abfrage dataprocessor'!$M$78</x:f>
        <x:v>ja</x:v>
      </x:c>
      <x:c r="E370" s="189" t="n">
        <x:f>IF(G370="definiert",'Stationen Abfrage dataprocessor'!$E$78,"")</x:f>
        <x:v>45797</x:v>
      </x:c>
      <x:c r="F370" s="189" t="n">
        <x:f>IF(G370="definiert",IF('Stationen Abfrage dataprocessor'!$T$78="Studienende",'Stationen Abfrage dataprocessor'!$H$78+1,MIN('Stationen Abfrage dataprocessor'!$F$78,'Stationen Abfrage dataprocessor'!$H$78+1)),"")</x:f>
        <x:v>46031</x:v>
      </x:c>
      <x:c r="G370" s="182" t="str">
        <x:f>IF(D370="nein","nicht_anwendbar",IF(D370&lt;&gt;"ja","Konfiguration fehlt",IF(OR(NOT(ISNUMBER('Stationen Abfrage dataprocessor'!$E$78)),NOT(ISNUMBER('Stationen Abfrage dataprocessor'!$H$78)),AND('Stationen Abfrage dataprocessor'!$T$78&lt;&gt;"Phasengrenze",'Stationen Abfrage dataprocessor'!$T$78&lt;&gt;"Studienende"),AND('Stationen Abfrage dataprocessor'!$T$78="Phasengrenze",NOT(ISNUMBER('Stationen Abfrage dataprocessor'!$F$78)))),"Konfiguration fehlt",IF((IF('Stationen Abfrage dataprocessor'!$T$78="Studienende",'Stationen Abfrage dataprocessor'!$H$78+1,MIN('Stationen Abfrage dataprocessor'!$F$78,'Stationen Abfrage dataprocessor'!$H$78+1)))&lt;=('Stationen Abfrage dataprocessor'!$E$78),"kein_beobachtetes_fenster","definiert"))))</x:f>
        <x:v>definiert</x:v>
      </x:c>
      <x:c r="H370" s="182" t="str">
        <x:v>nein</x:v>
      </x:c>
      <x:c r="I370" s="182" t="str">
        <x:v>nein</x:v>
      </x:c>
      <x:c r="J370" s="182" t="str">
        <x:f>"nicht Voraussetzung"</x:f>
        <x:v>nicht Voraussetzung</x:v>
      </x:c>
      <x:c r="K370" s="190" t="n">
        <x:f>IF(G370="definiert",F370-E370,"")</x:f>
        <x:v>234</x:v>
      </x:c>
      <x:c r="L370" s="182" t="n">
        <x:v>78</x:v>
      </x:c>
      <x:c r="M370" s="182" t="str">
        <x:f>IF('Stationen Abfrage dataprocessor'!$K$78="","",'Stationen Abfrage dataprocessor'!$K$78)</x:f>
      </x:c>
      <x:c r="N370" s="182" t="str">
        <x:f>Definitionen!$B$2</x:f>
        <x:v>IP-COHORT-2026-10-28-01</x:v>
      </x:c>
    </x:row>
    <x:row r="371" ht="30" customHeight="1">
      <x:c r="A371" s="182" t="str">
        <x:f>'Stationen Abfrage dataprocessor'!$A$78</x:f>
        <x:v>UK München (LMU)</x:v>
      </x:c>
      <x:c r="B371" s="182" t="str">
        <x:f>'Stationen Abfrage dataprocessor'!$D$78</x:f>
        <x:v>CHI3 Ortho</x:v>
      </x:c>
      <x:c r="C371" s="182" t="str">
        <x:v>CRS-A</x:v>
      </x:c>
      <x:c r="D371" s="182" t="str">
        <x:f>'Stationen Abfrage dataprocessor'!$N$78</x:f>
        <x:v>ja</x:v>
      </x:c>
      <x:c r="E371" s="189" t="n">
        <x:f>IF(G371="definiert",MAX('Stationen Abfrage dataprocessor'!$E$78,'Stationen Abfrage dataprocessor'!$F$78),"")</x:f>
        <x:v>46031</x:v>
      </x:c>
      <x:c r="F371" s="189" t="n">
        <x:f>IF(G371="definiert",MIN('Stationen Abfrage dataprocessor'!$G$78,'Stationen Abfrage dataprocessor'!$H$78+1),"")</x:f>
        <x:v>46115</x:v>
      </x:c>
      <x:c r="G371" s="182" t="str">
        <x:f>IF(D371="nein","nicht_anwendbar",IF(D371&lt;&gt;"ja","Konfiguration fehlt",IF(OR(NOT(ISNUMBER('Stationen Abfrage dataprocessor'!$E$78)),NOT(ISNUMBER('Stationen Abfrage dataprocessor'!$F$78)),NOT(ISNUMBER('Stationen Abfrage dataprocessor'!$G$78)),NOT(ISNUMBER('Stationen Abfrage dataprocessor'!$H$78))),"Konfiguration fehlt",IF((MIN('Stationen Abfrage dataprocessor'!$G$78,'Stationen Abfrage dataprocessor'!$H$78+1))&lt;=(MAX('Stationen Abfrage dataprocessor'!$E$78,'Stationen Abfrage dataprocessor'!$F$78)),"kein_beobachtetes_fenster","definiert"))))</x:f>
        <x:v>definiert</x:v>
      </x:c>
      <x:c r="H371" s="182" t="str">
        <x:v>nein</x:v>
      </x:c>
      <x:c r="I371" s="182" t="str">
        <x:v>nein</x:v>
      </x:c>
      <x:c r="J371" s="182" t="str">
        <x:f>"nicht Voraussetzung"</x:f>
        <x:v>nicht Voraussetzung</x:v>
      </x:c>
      <x:c r="K371" s="190" t="n">
        <x:f>IF(G371="definiert",F371-E371,"")</x:f>
        <x:v>84</x:v>
      </x:c>
      <x:c r="L371" s="182" t="n">
        <x:v>78</x:v>
      </x:c>
      <x:c r="M371" s="182" t="str">
        <x:f>IF('Stationen Abfrage dataprocessor'!$K$78="","",'Stationen Abfrage dataprocessor'!$K$78)</x:f>
      </x:c>
      <x:c r="N371" s="182" t="str">
        <x:f>Definitionen!$B$2</x:f>
        <x:v>IP-COHORT-2026-10-28-01</x:v>
      </x:c>
    </x:row>
    <x:row r="372" ht="30" customHeight="1">
      <x:c r="A372" s="182" t="str">
        <x:f>'Stationen Abfrage dataprocessor'!$A$78</x:f>
        <x:v>UK München (LMU)</x:v>
      </x:c>
      <x:c r="B372" s="182" t="str">
        <x:f>'Stationen Abfrage dataprocessor'!$D$78</x:f>
        <x:v>CHI3 Ortho</x:v>
      </x:c>
      <x:c r="C372" s="182" t="str">
        <x:v>CRS-B</x:v>
      </x:c>
      <x:c r="D372" s="182" t="str">
        <x:f>'Stationen Abfrage dataprocessor'!$O$78</x:f>
        <x:v>ja</x:v>
      </x:c>
      <x:c r="E372" s="189" t="n">
        <x:f>IF(G372="definiert",MAX('Stationen Abfrage dataprocessor'!$E$78,'Stationen Abfrage dataprocessor'!$G$78),"")</x:f>
        <x:v>46115</x:v>
      </x:c>
      <x:c r="F372" s="189" t="n">
        <x:f>IF(G372="definiert",'Stationen Abfrage dataprocessor'!$H$78+1,"")</x:f>
        <x:v>46235</x:v>
      </x:c>
      <x:c r="G372" s="182" t="str">
        <x:f>IF(D372="nein","nicht_anwendbar",IF(D372&lt;&gt;"ja","Konfiguration fehlt",IF(OR(NOT(ISNUMBER('Stationen Abfrage dataprocessor'!$E$78)),NOT(ISNUMBER('Stationen Abfrage dataprocessor'!$G$78)),NOT(ISNUMBER('Stationen Abfrage dataprocessor'!$H$78))),"Konfiguration fehlt",IF(('Stationen Abfrage dataprocessor'!$H$78+1)&lt;=(MAX('Stationen Abfrage dataprocessor'!$E$78,'Stationen Abfrage dataprocessor'!$G$78)),"kein_beobachtetes_fenster","definiert"))))</x:f>
        <x:v>definiert</x:v>
      </x:c>
      <x:c r="H372" s="182" t="str">
        <x:v>nein</x:v>
      </x:c>
      <x:c r="I372" s="182" t="str">
        <x:v>nein</x:v>
      </x:c>
      <x:c r="J372" s="182" t="str">
        <x:f>'Stationen Abfrage dataprocessor'!$S$78</x:f>
        <x:v>fallbezogen prüfen</x:v>
      </x:c>
      <x:c r="K372" s="190" t="n">
        <x:f>IF(G372="definiert",F372-E372,"")</x:f>
        <x:v>120</x:v>
      </x:c>
      <x:c r="L372" s="182" t="n">
        <x:v>78</x:v>
      </x:c>
      <x:c r="M372" s="182" t="str">
        <x:f>IF('Stationen Abfrage dataprocessor'!$K$78="","",'Stationen Abfrage dataprocessor'!$K$78)</x:f>
      </x:c>
      <x:c r="N372" s="182" t="str">
        <x:f>Definitionen!$B$2</x:f>
        <x:v>IP-COHORT-2026-10-28-01</x:v>
      </x:c>
    </x:row>
    <x:row r="373" ht="30" customHeight="1">
      <x:c r="A373" s="182" t="str">
        <x:f>'Stationen Abfrage dataprocessor'!$A$78</x:f>
        <x:v>UK München (LMU)</x:v>
      </x:c>
      <x:c r="B373" s="182" t="str">
        <x:f>'Stationen Abfrage dataprocessor'!$D$78</x:f>
        <x:v>CHI3 Ortho</x:v>
      </x:c>
      <x:c r="C373" s="182" t="str">
        <x:v>RES</x:v>
      </x:c>
      <x:c r="D373" s="182" t="str">
        <x:f>'Stationen Abfrage dataprocessor'!$P$78</x:f>
        <x:v>ja</x:v>
      </x:c>
      <x:c r="E373" s="189" t="n">
        <x:f>IF(G373="definiert",MAX('Stationen Abfrage dataprocessor'!$E$78,'Stationen Abfrage dataprocessor'!$G$78),"")</x:f>
        <x:v>46115</x:v>
      </x:c>
      <x:c r="F373" s="189" t="n">
        <x:f>IF(G373="definiert",'Stationen Abfrage dataprocessor'!$H$78+1,"")</x:f>
        <x:v>46235</x:v>
      </x:c>
      <x:c r="G373" s="182" t="str">
        <x:f>IF(D373="nein","nicht_anwendbar",IF(D373&lt;&gt;"ja","Konfiguration fehlt",IF(OR(NOT(ISNUMBER('Stationen Abfrage dataprocessor'!$E$78)),NOT(ISNUMBER('Stationen Abfrage dataprocessor'!$G$78)),NOT(ISNUMBER('Stationen Abfrage dataprocessor'!$H$78))),"Konfiguration fehlt",IF(('Stationen Abfrage dataprocessor'!$H$78+1)&lt;=(MAX('Stationen Abfrage dataprocessor'!$E$78,'Stationen Abfrage dataprocessor'!$G$78)),"kein_beobachtetes_fenster","definiert"))))</x:f>
        <x:v>definiert</x:v>
      </x:c>
      <x:c r="H373" s="182" t="str">
        <x:v>ja</x:v>
      </x:c>
      <x:c r="I373" s="182" t="str">
        <x:v>ja</x:v>
      </x:c>
      <x:c r="J373" s="182" t="str">
        <x:f>'Stationen Abfrage dataprocessor'!$S$78</x:f>
        <x:v>fallbezogen prüfen</x:v>
      </x:c>
      <x:c r="K373" s="190" t="n">
        <x:f>IF(G373="definiert",F373-E373,"")</x:f>
        <x:v>120</x:v>
      </x:c>
      <x:c r="L373" s="182" t="n">
        <x:v>78</x:v>
      </x:c>
      <x:c r="M373" s="182" t="str">
        <x:f>IF('Stationen Abfrage dataprocessor'!$K$78="","",'Stationen Abfrage dataprocessor'!$K$78)</x:f>
      </x:c>
      <x:c r="N373" s="182" t="str">
        <x:f>Definitionen!$B$2</x:f>
        <x:v>IP-COHORT-2026-10-28-01</x:v>
      </x:c>
    </x:row>
    <x:row r="374" ht="30" customHeight="1">
      <x:c r="A374" s="182" t="str">
        <x:f>'Stationen Abfrage dataprocessor'!$A$78</x:f>
        <x:v>UK München (LMU)</x:v>
      </x:c>
      <x:c r="B374" s="182" t="str">
        <x:f>'Stationen Abfrage dataprocessor'!$D$78</x:f>
        <x:v>CHI3 Ortho</x:v>
      </x:c>
      <x:c r="C374" s="182" t="str">
        <x:v>TRS</x:v>
      </x:c>
      <x:c r="D374" s="182" t="str">
        <x:f>'Stationen Abfrage dataprocessor'!$Q$78</x:f>
        <x:v>ja</x:v>
      </x:c>
      <x:c r="E374" s="189" t="n">
        <x:f>IF(G374="definiert",'Stationen Abfrage dataprocessor'!$E$78,"")</x:f>
        <x:v>45797</x:v>
      </x:c>
      <x:c r="F374" s="189" t="n">
        <x:f>IF(G374="definiert",'Stationen Abfrage dataprocessor'!$H$78+1,"")</x:f>
        <x:v>46235</x:v>
      </x:c>
      <x:c r="G374" s="182" t="str">
        <x:f>IF(D374="nein","nicht_anwendbar",IF(D374&lt;&gt;"ja","Konfiguration fehlt",IF(OR(NOT(ISNUMBER('Stationen Abfrage dataprocessor'!$E$78)),NOT(ISNUMBER('Stationen Abfrage dataprocessor'!$H$78))),"Konfiguration fehlt",IF(('Stationen Abfrage dataprocessor'!$H$78+1)&lt;=('Stationen Abfrage dataprocessor'!$E$78),"kein_beobachtetes_fenster","definiert"))))</x:f>
        <x:v>definiert</x:v>
      </x:c>
      <x:c r="H374" s="182" t="str">
        <x:v>ja</x:v>
      </x:c>
      <x:c r="I374" s="182" t="str">
        <x:v>nein</x:v>
      </x:c>
      <x:c r="J374" s="182" t="str">
        <x:f>"nicht Voraussetzung"</x:f>
        <x:v>nicht Voraussetzung</x:v>
      </x:c>
      <x:c r="K374" s="190" t="n">
        <x:f>IF(G374="definiert",F374-E374,"")</x:f>
        <x:v>438</x:v>
      </x:c>
      <x:c r="L374" s="182" t="n">
        <x:v>78</x:v>
      </x:c>
      <x:c r="M374" s="182" t="str">
        <x:f>IF('Stationen Abfrage dataprocessor'!$K$78="","",'Stationen Abfrage dataprocessor'!$K$78)</x:f>
      </x:c>
      <x:c r="N374" s="182" t="str">
        <x:f>Definitionen!$B$2</x:f>
        <x:v>IP-COHORT-2026-10-28-01</x:v>
      </x:c>
    </x:row>
    <x:row r="375" ht="30" customHeight="1">
      <x:c r="A375" s="182" t="str">
        <x:f>'Stationen Abfrage dataprocessor'!$A$79</x:f>
        <x:v>UK München (LMU)</x:v>
      </x:c>
      <x:c r="B375" s="182" t="str">
        <x:f>'Stationen Abfrage dataprocessor'!$D$79</x:f>
        <x:v>INN1Kardio</x:v>
      </x:c>
      <x:c r="C375" s="182" t="str">
        <x:v>BS</x:v>
      </x:c>
      <x:c r="D375" s="182" t="str">
        <x:f>'Stationen Abfrage dataprocessor'!$M$79</x:f>
        <x:v>ja</x:v>
      </x:c>
      <x:c r="E375" s="189" t="n">
        <x:f>IF(G375="definiert",'Stationen Abfrage dataprocessor'!$E$79,"")</x:f>
        <x:v>45798</x:v>
      </x:c>
      <x:c r="F375" s="189" t="n">
        <x:f>IF(G375="definiert",IF('Stationen Abfrage dataprocessor'!$T$79="Studienende",'Stationen Abfrage dataprocessor'!$H$79+1,MIN('Stationen Abfrage dataprocessor'!$F$79,'Stationen Abfrage dataprocessor'!$H$79+1)),"")</x:f>
        <x:v>46031</x:v>
      </x:c>
      <x:c r="G375" s="182" t="str">
        <x:f>IF(D375="nein","nicht_anwendbar",IF(D375&lt;&gt;"ja","Konfiguration fehlt",IF(OR(NOT(ISNUMBER('Stationen Abfrage dataprocessor'!$E$79)),NOT(ISNUMBER('Stationen Abfrage dataprocessor'!$H$79)),AND('Stationen Abfrage dataprocessor'!$T$79&lt;&gt;"Phasengrenze",'Stationen Abfrage dataprocessor'!$T$79&lt;&gt;"Studienende"),AND('Stationen Abfrage dataprocessor'!$T$79="Phasengrenze",NOT(ISNUMBER('Stationen Abfrage dataprocessor'!$F$79)))),"Konfiguration fehlt",IF((IF('Stationen Abfrage dataprocessor'!$T$79="Studienende",'Stationen Abfrage dataprocessor'!$H$79+1,MIN('Stationen Abfrage dataprocessor'!$F$79,'Stationen Abfrage dataprocessor'!$H$79+1)))&lt;=('Stationen Abfrage dataprocessor'!$E$79),"kein_beobachtetes_fenster","definiert"))))</x:f>
        <x:v>definiert</x:v>
      </x:c>
      <x:c r="H375" s="182" t="str">
        <x:v>nein</x:v>
      </x:c>
      <x:c r="I375" s="182" t="str">
        <x:v>nein</x:v>
      </x:c>
      <x:c r="J375" s="182" t="str">
        <x:f>"nicht Voraussetzung"</x:f>
        <x:v>nicht Voraussetzung</x:v>
      </x:c>
      <x:c r="K375" s="190" t="n">
        <x:f>IF(G375="definiert",F375-E375,"")</x:f>
        <x:v>233</x:v>
      </x:c>
      <x:c r="L375" s="182" t="n">
        <x:v>79</x:v>
      </x:c>
      <x:c r="M375" s="182" t="str">
        <x:f>IF('Stationen Abfrage dataprocessor'!$K$79="","",'Stationen Abfrage dataprocessor'!$K$79)</x:f>
      </x:c>
      <x:c r="N375" s="182" t="str">
        <x:f>Definitionen!$B$2</x:f>
        <x:v>IP-COHORT-2026-10-28-01</x:v>
      </x:c>
    </x:row>
    <x:row r="376" ht="30" customHeight="1">
      <x:c r="A376" s="182" t="str">
        <x:f>'Stationen Abfrage dataprocessor'!$A$79</x:f>
        <x:v>UK München (LMU)</x:v>
      </x:c>
      <x:c r="B376" s="182" t="str">
        <x:f>'Stationen Abfrage dataprocessor'!$D$79</x:f>
        <x:v>INN1Kardio</x:v>
      </x:c>
      <x:c r="C376" s="182" t="str">
        <x:v>CRS-A</x:v>
      </x:c>
      <x:c r="D376" s="182" t="str">
        <x:f>'Stationen Abfrage dataprocessor'!$N$79</x:f>
        <x:v>ja</x:v>
      </x:c>
      <x:c r="E376" s="189" t="n">
        <x:f>IF(G376="definiert",MAX('Stationen Abfrage dataprocessor'!$E$79,'Stationen Abfrage dataprocessor'!$F$79),"")</x:f>
        <x:v>46031</x:v>
      </x:c>
      <x:c r="F376" s="189" t="n">
        <x:f>IF(G376="definiert",MIN('Stationen Abfrage dataprocessor'!$G$79,'Stationen Abfrage dataprocessor'!$H$79+1),"")</x:f>
        <x:v>46143</x:v>
      </x:c>
      <x:c r="G376" s="182" t="str">
        <x:f>IF(D376="nein","nicht_anwendbar",IF(D376&lt;&gt;"ja","Konfiguration fehlt",IF(OR(NOT(ISNUMBER('Stationen Abfrage dataprocessor'!$E$79)),NOT(ISNUMBER('Stationen Abfrage dataprocessor'!$F$79)),NOT(ISNUMBER('Stationen Abfrage dataprocessor'!$G$79)),NOT(ISNUMBER('Stationen Abfrage dataprocessor'!$H$79))),"Konfiguration fehlt",IF((MIN('Stationen Abfrage dataprocessor'!$G$79,'Stationen Abfrage dataprocessor'!$H$79+1))&lt;=(MAX('Stationen Abfrage dataprocessor'!$E$79,'Stationen Abfrage dataprocessor'!$F$79)),"kein_beobachtetes_fenster","definiert"))))</x:f>
        <x:v>definiert</x:v>
      </x:c>
      <x:c r="H376" s="182" t="str">
        <x:v>nein</x:v>
      </x:c>
      <x:c r="I376" s="182" t="str">
        <x:v>nein</x:v>
      </x:c>
      <x:c r="J376" s="182" t="str">
        <x:f>"nicht Voraussetzung"</x:f>
        <x:v>nicht Voraussetzung</x:v>
      </x:c>
      <x:c r="K376" s="190" t="n">
        <x:f>IF(G376="definiert",F376-E376,"")</x:f>
        <x:v>112</x:v>
      </x:c>
      <x:c r="L376" s="182" t="n">
        <x:v>79</x:v>
      </x:c>
      <x:c r="M376" s="182" t="str">
        <x:f>IF('Stationen Abfrage dataprocessor'!$K$79="","",'Stationen Abfrage dataprocessor'!$K$79)</x:f>
      </x:c>
      <x:c r="N376" s="182" t="str">
        <x:f>Definitionen!$B$2</x:f>
        <x:v>IP-COHORT-2026-10-28-01</x:v>
      </x:c>
    </x:row>
    <x:row r="377" ht="30" customHeight="1">
      <x:c r="A377" s="182" t="str">
        <x:f>'Stationen Abfrage dataprocessor'!$A$79</x:f>
        <x:v>UK München (LMU)</x:v>
      </x:c>
      <x:c r="B377" s="182" t="str">
        <x:f>'Stationen Abfrage dataprocessor'!$D$79</x:f>
        <x:v>INN1Kardio</x:v>
      </x:c>
      <x:c r="C377" s="182" t="str">
        <x:v>CRS-B</x:v>
      </x:c>
      <x:c r="D377" s="182" t="str">
        <x:f>'Stationen Abfrage dataprocessor'!$O$79</x:f>
        <x:v>ja</x:v>
      </x:c>
      <x:c r="E377" s="189" t="n">
        <x:f>IF(G377="definiert",MAX('Stationen Abfrage dataprocessor'!$E$79,'Stationen Abfrage dataprocessor'!$G$79),"")</x:f>
        <x:v>46143</x:v>
      </x:c>
      <x:c r="F377" s="189" t="n">
        <x:f>IF(G377="definiert",'Stationen Abfrage dataprocessor'!$H$79+1,"")</x:f>
        <x:v>46235</x:v>
      </x:c>
      <x:c r="G377" s="182" t="str">
        <x:f>IF(D377="nein","nicht_anwendbar",IF(D377&lt;&gt;"ja","Konfiguration fehlt",IF(OR(NOT(ISNUMBER('Stationen Abfrage dataprocessor'!$E$79)),NOT(ISNUMBER('Stationen Abfrage dataprocessor'!$G$79)),NOT(ISNUMBER('Stationen Abfrage dataprocessor'!$H$79))),"Konfiguration fehlt",IF(('Stationen Abfrage dataprocessor'!$H$79+1)&lt;=(MAX('Stationen Abfrage dataprocessor'!$E$79,'Stationen Abfrage dataprocessor'!$G$79)),"kein_beobachtetes_fenster","definiert"))))</x:f>
        <x:v>definiert</x:v>
      </x:c>
      <x:c r="H377" s="182" t="str">
        <x:v>nein</x:v>
      </x:c>
      <x:c r="I377" s="182" t="str">
        <x:v>nein</x:v>
      </x:c>
      <x:c r="J377" s="182" t="str">
        <x:f>'Stationen Abfrage dataprocessor'!$S$79</x:f>
        <x:v>fallbezogen prüfen</x:v>
      </x:c>
      <x:c r="K377" s="190" t="n">
        <x:f>IF(G377="definiert",F377-E377,"")</x:f>
        <x:v>92</x:v>
      </x:c>
      <x:c r="L377" s="182" t="n">
        <x:v>79</x:v>
      </x:c>
      <x:c r="M377" s="182" t="str">
        <x:f>IF('Stationen Abfrage dataprocessor'!$K$79="","",'Stationen Abfrage dataprocessor'!$K$79)</x:f>
      </x:c>
      <x:c r="N377" s="182" t="str">
        <x:f>Definitionen!$B$2</x:f>
        <x:v>IP-COHORT-2026-10-28-01</x:v>
      </x:c>
    </x:row>
    <x:row r="378" ht="30" customHeight="1">
      <x:c r="A378" s="182" t="str">
        <x:f>'Stationen Abfrage dataprocessor'!$A$79</x:f>
        <x:v>UK München (LMU)</x:v>
      </x:c>
      <x:c r="B378" s="182" t="str">
        <x:f>'Stationen Abfrage dataprocessor'!$D$79</x:f>
        <x:v>INN1Kardio</x:v>
      </x:c>
      <x:c r="C378" s="182" t="str">
        <x:v>RES</x:v>
      </x:c>
      <x:c r="D378" s="182" t="str">
        <x:f>'Stationen Abfrage dataprocessor'!$P$79</x:f>
        <x:v>ja</x:v>
      </x:c>
      <x:c r="E378" s="189" t="n">
        <x:f>IF(G378="definiert",MAX('Stationen Abfrage dataprocessor'!$E$79,'Stationen Abfrage dataprocessor'!$G$79),"")</x:f>
        <x:v>46143</x:v>
      </x:c>
      <x:c r="F378" s="189" t="n">
        <x:f>IF(G378="definiert",'Stationen Abfrage dataprocessor'!$H$79+1,"")</x:f>
        <x:v>46235</x:v>
      </x:c>
      <x:c r="G378" s="182" t="str">
        <x:f>IF(D378="nein","nicht_anwendbar",IF(D378&lt;&gt;"ja","Konfiguration fehlt",IF(OR(NOT(ISNUMBER('Stationen Abfrage dataprocessor'!$E$79)),NOT(ISNUMBER('Stationen Abfrage dataprocessor'!$G$79)),NOT(ISNUMBER('Stationen Abfrage dataprocessor'!$H$79))),"Konfiguration fehlt",IF(('Stationen Abfrage dataprocessor'!$H$79+1)&lt;=(MAX('Stationen Abfrage dataprocessor'!$E$79,'Stationen Abfrage dataprocessor'!$G$79)),"kein_beobachtetes_fenster","definiert"))))</x:f>
        <x:v>definiert</x:v>
      </x:c>
      <x:c r="H378" s="182" t="str">
        <x:v>ja</x:v>
      </x:c>
      <x:c r="I378" s="182" t="str">
        <x:v>ja</x:v>
      </x:c>
      <x:c r="J378" s="182" t="str">
        <x:f>'Stationen Abfrage dataprocessor'!$S$79</x:f>
        <x:v>fallbezogen prüfen</x:v>
      </x:c>
      <x:c r="K378" s="190" t="n">
        <x:f>IF(G378="definiert",F378-E378,"")</x:f>
        <x:v>92</x:v>
      </x:c>
      <x:c r="L378" s="182" t="n">
        <x:v>79</x:v>
      </x:c>
      <x:c r="M378" s="182" t="str">
        <x:f>IF('Stationen Abfrage dataprocessor'!$K$79="","",'Stationen Abfrage dataprocessor'!$K$79)</x:f>
      </x:c>
      <x:c r="N378" s="182" t="str">
        <x:f>Definitionen!$B$2</x:f>
        <x:v>IP-COHORT-2026-10-28-01</x:v>
      </x:c>
    </x:row>
    <x:row r="379" ht="30" customHeight="1">
      <x:c r="A379" s="182" t="str">
        <x:f>'Stationen Abfrage dataprocessor'!$A$79</x:f>
        <x:v>UK München (LMU)</x:v>
      </x:c>
      <x:c r="B379" s="182" t="str">
        <x:f>'Stationen Abfrage dataprocessor'!$D$79</x:f>
        <x:v>INN1Kardio</x:v>
      </x:c>
      <x:c r="C379" s="182" t="str">
        <x:v>TRS</x:v>
      </x:c>
      <x:c r="D379" s="182" t="str">
        <x:f>'Stationen Abfrage dataprocessor'!$Q$79</x:f>
        <x:v>ja</x:v>
      </x:c>
      <x:c r="E379" s="189" t="n">
        <x:f>IF(G379="definiert",'Stationen Abfrage dataprocessor'!$E$79,"")</x:f>
        <x:v>45798</x:v>
      </x:c>
      <x:c r="F379" s="189" t="n">
        <x:f>IF(G379="definiert",'Stationen Abfrage dataprocessor'!$H$79+1,"")</x:f>
        <x:v>46235</x:v>
      </x:c>
      <x:c r="G379" s="182" t="str">
        <x:f>IF(D379="nein","nicht_anwendbar",IF(D379&lt;&gt;"ja","Konfiguration fehlt",IF(OR(NOT(ISNUMBER('Stationen Abfrage dataprocessor'!$E$79)),NOT(ISNUMBER('Stationen Abfrage dataprocessor'!$H$79))),"Konfiguration fehlt",IF(('Stationen Abfrage dataprocessor'!$H$79+1)&lt;=('Stationen Abfrage dataprocessor'!$E$79),"kein_beobachtetes_fenster","definiert"))))</x:f>
        <x:v>definiert</x:v>
      </x:c>
      <x:c r="H379" s="182" t="str">
        <x:v>ja</x:v>
      </x:c>
      <x:c r="I379" s="182" t="str">
        <x:v>nein</x:v>
      </x:c>
      <x:c r="J379" s="182" t="str">
        <x:f>"nicht Voraussetzung"</x:f>
        <x:v>nicht Voraussetzung</x:v>
      </x:c>
      <x:c r="K379" s="190" t="n">
        <x:f>IF(G379="definiert",F379-E379,"")</x:f>
        <x:v>437</x:v>
      </x:c>
      <x:c r="L379" s="182" t="n">
        <x:v>79</x:v>
      </x:c>
      <x:c r="M379" s="182" t="str">
        <x:f>IF('Stationen Abfrage dataprocessor'!$K$79="","",'Stationen Abfrage dataprocessor'!$K$79)</x:f>
      </x:c>
      <x:c r="N379" s="182" t="str">
        <x:f>Definitionen!$B$2</x:f>
        <x:v>IP-COHORT-2026-10-28-01</x:v>
      </x:c>
    </x:row>
    <x:row r="380" ht="30" customHeight="1">
      <x:c r="A380" s="182" t="str">
        <x:f>'Stationen Abfrage dataprocessor'!$A$80</x:f>
        <x:v>UK München (LMU)</x:v>
      </x:c>
      <x:c r="B380" s="182" t="str">
        <x:f>'Stationen Abfrage dataprocessor'!$D$80</x:f>
        <x:v>INN2Gastro</x:v>
      </x:c>
      <x:c r="C380" s="182" t="str">
        <x:v>BS</x:v>
      </x:c>
      <x:c r="D380" s="182" t="str">
        <x:f>'Stationen Abfrage dataprocessor'!$M$80</x:f>
        <x:v>ja</x:v>
      </x:c>
      <x:c r="E380" s="189" t="n">
        <x:f>IF(G380="definiert",'Stationen Abfrage dataprocessor'!$E$80,"")</x:f>
        <x:v>45796</x:v>
      </x:c>
      <x:c r="F380" s="189" t="n">
        <x:f>IF(G380="definiert",IF('Stationen Abfrage dataprocessor'!$T$80="Studienende",'Stationen Abfrage dataprocessor'!$H$80+1,MIN('Stationen Abfrage dataprocessor'!$F$80,'Stationen Abfrage dataprocessor'!$H$80+1)),"")</x:f>
        <x:v>46031</x:v>
      </x:c>
      <x:c r="G380" s="182" t="str">
        <x:f>IF(D380="nein","nicht_anwendbar",IF(D380&lt;&gt;"ja","Konfiguration fehlt",IF(OR(NOT(ISNUMBER('Stationen Abfrage dataprocessor'!$E$80)),NOT(ISNUMBER('Stationen Abfrage dataprocessor'!$H$80)),AND('Stationen Abfrage dataprocessor'!$T$80&lt;&gt;"Phasengrenze",'Stationen Abfrage dataprocessor'!$T$80&lt;&gt;"Studienende"),AND('Stationen Abfrage dataprocessor'!$T$80="Phasengrenze",NOT(ISNUMBER('Stationen Abfrage dataprocessor'!$F$80)))),"Konfiguration fehlt",IF((IF('Stationen Abfrage dataprocessor'!$T$80="Studienende",'Stationen Abfrage dataprocessor'!$H$80+1,MIN('Stationen Abfrage dataprocessor'!$F$80,'Stationen Abfrage dataprocessor'!$H$80+1)))&lt;=('Stationen Abfrage dataprocessor'!$E$80),"kein_beobachtetes_fenster","definiert"))))</x:f>
        <x:v>definiert</x:v>
      </x:c>
      <x:c r="H380" s="182" t="str">
        <x:v>nein</x:v>
      </x:c>
      <x:c r="I380" s="182" t="str">
        <x:v>nein</x:v>
      </x:c>
      <x:c r="J380" s="182" t="str">
        <x:f>"nicht Voraussetzung"</x:f>
        <x:v>nicht Voraussetzung</x:v>
      </x:c>
      <x:c r="K380" s="190" t="n">
        <x:f>IF(G380="definiert",F380-E380,"")</x:f>
        <x:v>235</x:v>
      </x:c>
      <x:c r="L380" s="182" t="n">
        <x:v>80</x:v>
      </x:c>
      <x:c r="M380" s="182" t="str">
        <x:f>IF('Stationen Abfrage dataprocessor'!$K$80="","",'Stationen Abfrage dataprocessor'!$K$80)</x:f>
      </x:c>
      <x:c r="N380" s="182" t="str">
        <x:f>Definitionen!$B$2</x:f>
        <x:v>IP-COHORT-2026-10-28-01</x:v>
      </x:c>
    </x:row>
    <x:row r="381" ht="30" customHeight="1">
      <x:c r="A381" s="182" t="str">
        <x:f>'Stationen Abfrage dataprocessor'!$A$80</x:f>
        <x:v>UK München (LMU)</x:v>
      </x:c>
      <x:c r="B381" s="182" t="str">
        <x:f>'Stationen Abfrage dataprocessor'!$D$80</x:f>
        <x:v>INN2Gastro</x:v>
      </x:c>
      <x:c r="C381" s="182" t="str">
        <x:v>CRS-A</x:v>
      </x:c>
      <x:c r="D381" s="182" t="str">
        <x:f>'Stationen Abfrage dataprocessor'!$N$80</x:f>
        <x:v>ja</x:v>
      </x:c>
      <x:c r="E381" s="189" t="n">
        <x:f>IF(G381="definiert",MAX('Stationen Abfrage dataprocessor'!$E$80,'Stationen Abfrage dataprocessor'!$F$80),"")</x:f>
        <x:v>46031</x:v>
      </x:c>
      <x:c r="F381" s="189" t="n">
        <x:f>IF(G381="definiert",MIN('Stationen Abfrage dataprocessor'!$G$80,'Stationen Abfrage dataprocessor'!$H$80+1),"")</x:f>
        <x:v>46171</x:v>
      </x:c>
      <x:c r="G381" s="182" t="str">
        <x:f>IF(D381="nein","nicht_anwendbar",IF(D381&lt;&gt;"ja","Konfiguration fehlt",IF(OR(NOT(ISNUMBER('Stationen Abfrage dataprocessor'!$E$80)),NOT(ISNUMBER('Stationen Abfrage dataprocessor'!$F$80)),NOT(ISNUMBER('Stationen Abfrage dataprocessor'!$G$80)),NOT(ISNUMBER('Stationen Abfrage dataprocessor'!$H$80))),"Konfiguration fehlt",IF((MIN('Stationen Abfrage dataprocessor'!$G$80,'Stationen Abfrage dataprocessor'!$H$80+1))&lt;=(MAX('Stationen Abfrage dataprocessor'!$E$80,'Stationen Abfrage dataprocessor'!$F$80)),"kein_beobachtetes_fenster","definiert"))))</x:f>
        <x:v>definiert</x:v>
      </x:c>
      <x:c r="H381" s="182" t="str">
        <x:v>nein</x:v>
      </x:c>
      <x:c r="I381" s="182" t="str">
        <x:v>nein</x:v>
      </x:c>
      <x:c r="J381" s="182" t="str">
        <x:f>"nicht Voraussetzung"</x:f>
        <x:v>nicht Voraussetzung</x:v>
      </x:c>
      <x:c r="K381" s="190" t="n">
        <x:f>IF(G381="definiert",F381-E381,"")</x:f>
        <x:v>140</x:v>
      </x:c>
      <x:c r="L381" s="182" t="n">
        <x:v>80</x:v>
      </x:c>
      <x:c r="M381" s="182" t="str">
        <x:f>IF('Stationen Abfrage dataprocessor'!$K$80="","",'Stationen Abfrage dataprocessor'!$K$80)</x:f>
      </x:c>
      <x:c r="N381" s="182" t="str">
        <x:f>Definitionen!$B$2</x:f>
        <x:v>IP-COHORT-2026-10-28-01</x:v>
      </x:c>
    </x:row>
    <x:row r="382" ht="30" customHeight="1">
      <x:c r="A382" s="182" t="str">
        <x:f>'Stationen Abfrage dataprocessor'!$A$80</x:f>
        <x:v>UK München (LMU)</x:v>
      </x:c>
      <x:c r="B382" s="182" t="str">
        <x:f>'Stationen Abfrage dataprocessor'!$D$80</x:f>
        <x:v>INN2Gastro</x:v>
      </x:c>
      <x:c r="C382" s="182" t="str">
        <x:v>CRS-B</x:v>
      </x:c>
      <x:c r="D382" s="182" t="str">
        <x:f>'Stationen Abfrage dataprocessor'!$O$80</x:f>
        <x:v>ja</x:v>
      </x:c>
      <x:c r="E382" s="189" t="n">
        <x:f>IF(G382="definiert",MAX('Stationen Abfrage dataprocessor'!$E$80,'Stationen Abfrage dataprocessor'!$G$80),"")</x:f>
        <x:v>46171</x:v>
      </x:c>
      <x:c r="F382" s="189" t="n">
        <x:f>IF(G382="definiert",'Stationen Abfrage dataprocessor'!$H$80+1,"")</x:f>
        <x:v>46235</x:v>
      </x:c>
      <x:c r="G382" s="182" t="str">
        <x:f>IF(D382="nein","nicht_anwendbar",IF(D382&lt;&gt;"ja","Konfiguration fehlt",IF(OR(NOT(ISNUMBER('Stationen Abfrage dataprocessor'!$E$80)),NOT(ISNUMBER('Stationen Abfrage dataprocessor'!$G$80)),NOT(ISNUMBER('Stationen Abfrage dataprocessor'!$H$80))),"Konfiguration fehlt",IF(('Stationen Abfrage dataprocessor'!$H$80+1)&lt;=(MAX('Stationen Abfrage dataprocessor'!$E$80,'Stationen Abfrage dataprocessor'!$G$80)),"kein_beobachtetes_fenster","definiert"))))</x:f>
        <x:v>definiert</x:v>
      </x:c>
      <x:c r="H382" s="182" t="str">
        <x:v>nein</x:v>
      </x:c>
      <x:c r="I382" s="182" t="str">
        <x:v>nein</x:v>
      </x:c>
      <x:c r="J382" s="182" t="str">
        <x:f>'Stationen Abfrage dataprocessor'!$S$80</x:f>
        <x:v>fallbezogen prüfen</x:v>
      </x:c>
      <x:c r="K382" s="190" t="n">
        <x:f>IF(G382="definiert",F382-E382,"")</x:f>
        <x:v>64</x:v>
      </x:c>
      <x:c r="L382" s="182" t="n">
        <x:v>80</x:v>
      </x:c>
      <x:c r="M382" s="182" t="str">
        <x:f>IF('Stationen Abfrage dataprocessor'!$K$80="","",'Stationen Abfrage dataprocessor'!$K$80)</x:f>
      </x:c>
      <x:c r="N382" s="182" t="str">
        <x:f>Definitionen!$B$2</x:f>
        <x:v>IP-COHORT-2026-10-28-01</x:v>
      </x:c>
    </x:row>
    <x:row r="383" ht="30" customHeight="1">
      <x:c r="A383" s="182" t="str">
        <x:f>'Stationen Abfrage dataprocessor'!$A$80</x:f>
        <x:v>UK München (LMU)</x:v>
      </x:c>
      <x:c r="B383" s="182" t="str">
        <x:f>'Stationen Abfrage dataprocessor'!$D$80</x:f>
        <x:v>INN2Gastro</x:v>
      </x:c>
      <x:c r="C383" s="182" t="str">
        <x:v>RES</x:v>
      </x:c>
      <x:c r="D383" s="182" t="str">
        <x:f>'Stationen Abfrage dataprocessor'!$P$80</x:f>
        <x:v>ja</x:v>
      </x:c>
      <x:c r="E383" s="189" t="n">
        <x:f>IF(G383="definiert",MAX('Stationen Abfrage dataprocessor'!$E$80,'Stationen Abfrage dataprocessor'!$G$80),"")</x:f>
        <x:v>46171</x:v>
      </x:c>
      <x:c r="F383" s="189" t="n">
        <x:f>IF(G383="definiert",'Stationen Abfrage dataprocessor'!$H$80+1,"")</x:f>
        <x:v>46235</x:v>
      </x:c>
      <x:c r="G383" s="182" t="str">
        <x:f>IF(D383="nein","nicht_anwendbar",IF(D383&lt;&gt;"ja","Konfiguration fehlt",IF(OR(NOT(ISNUMBER('Stationen Abfrage dataprocessor'!$E$80)),NOT(ISNUMBER('Stationen Abfrage dataprocessor'!$G$80)),NOT(ISNUMBER('Stationen Abfrage dataprocessor'!$H$80))),"Konfiguration fehlt",IF(('Stationen Abfrage dataprocessor'!$H$80+1)&lt;=(MAX('Stationen Abfrage dataprocessor'!$E$80,'Stationen Abfrage dataprocessor'!$G$80)),"kein_beobachtetes_fenster","definiert"))))</x:f>
        <x:v>definiert</x:v>
      </x:c>
      <x:c r="H383" s="182" t="str">
        <x:v>ja</x:v>
      </x:c>
      <x:c r="I383" s="182" t="str">
        <x:v>ja</x:v>
      </x:c>
      <x:c r="J383" s="182" t="str">
        <x:f>'Stationen Abfrage dataprocessor'!$S$80</x:f>
        <x:v>fallbezogen prüfen</x:v>
      </x:c>
      <x:c r="K383" s="190" t="n">
        <x:f>IF(G383="definiert",F383-E383,"")</x:f>
        <x:v>64</x:v>
      </x:c>
      <x:c r="L383" s="182" t="n">
        <x:v>80</x:v>
      </x:c>
      <x:c r="M383" s="182" t="str">
        <x:f>IF('Stationen Abfrage dataprocessor'!$K$80="","",'Stationen Abfrage dataprocessor'!$K$80)</x:f>
      </x:c>
      <x:c r="N383" s="182" t="str">
        <x:f>Definitionen!$B$2</x:f>
        <x:v>IP-COHORT-2026-10-28-01</x:v>
      </x:c>
    </x:row>
    <x:row r="384" ht="30" customHeight="1">
      <x:c r="A384" s="182" t="str">
        <x:f>'Stationen Abfrage dataprocessor'!$A$80</x:f>
        <x:v>UK München (LMU)</x:v>
      </x:c>
      <x:c r="B384" s="182" t="str">
        <x:f>'Stationen Abfrage dataprocessor'!$D$80</x:f>
        <x:v>INN2Gastro</x:v>
      </x:c>
      <x:c r="C384" s="182" t="str">
        <x:v>TRS</x:v>
      </x:c>
      <x:c r="D384" s="182" t="str">
        <x:f>'Stationen Abfrage dataprocessor'!$Q$80</x:f>
        <x:v>ja</x:v>
      </x:c>
      <x:c r="E384" s="189" t="n">
        <x:f>IF(G384="definiert",'Stationen Abfrage dataprocessor'!$E$80,"")</x:f>
        <x:v>45796</x:v>
      </x:c>
      <x:c r="F384" s="189" t="n">
        <x:f>IF(G384="definiert",'Stationen Abfrage dataprocessor'!$H$80+1,"")</x:f>
        <x:v>46235</x:v>
      </x:c>
      <x:c r="G384" s="182" t="str">
        <x:f>IF(D384="nein","nicht_anwendbar",IF(D384&lt;&gt;"ja","Konfiguration fehlt",IF(OR(NOT(ISNUMBER('Stationen Abfrage dataprocessor'!$E$80)),NOT(ISNUMBER('Stationen Abfrage dataprocessor'!$H$80))),"Konfiguration fehlt",IF(('Stationen Abfrage dataprocessor'!$H$80+1)&lt;=('Stationen Abfrage dataprocessor'!$E$80),"kein_beobachtetes_fenster","definiert"))))</x:f>
        <x:v>definiert</x:v>
      </x:c>
      <x:c r="H384" s="182" t="str">
        <x:v>ja</x:v>
      </x:c>
      <x:c r="I384" s="182" t="str">
        <x:v>nein</x:v>
      </x:c>
      <x:c r="J384" s="182" t="str">
        <x:f>"nicht Voraussetzung"</x:f>
        <x:v>nicht Voraussetzung</x:v>
      </x:c>
      <x:c r="K384" s="190" t="n">
        <x:f>IF(G384="definiert",F384-E384,"")</x:f>
        <x:v>439</x:v>
      </x:c>
      <x:c r="L384" s="182" t="n">
        <x:v>80</x:v>
      </x:c>
      <x:c r="M384" s="182" t="str">
        <x:f>IF('Stationen Abfrage dataprocessor'!$K$80="","",'Stationen Abfrage dataprocessor'!$K$80)</x:f>
      </x:c>
      <x:c r="N384" s="182" t="str">
        <x:f>Definitionen!$B$2</x:f>
        <x:v>IP-COHORT-2026-10-28-01</x:v>
      </x:c>
    </x:row>
  </x:sheetData>
  <x:mergeCells>
    <x:mergeCell ref="A1:N1"/>
    <x:mergeCell ref="A2:N2"/>
  </x:mergeCells>
  <x:pageMargins left="0.7" right="0.7" top="0.75" bottom="0.75" header="0.3" footer="0.3"/>
  <x:tableParts count="1">
    <x:tablePart xmlns:r="http://schemas.openxmlformats.org/officeDocument/2006/relationships" r:id="R94ce996146f34002"/>
  </x:tableParts>
</x:worksheet>
</file>